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VSL and Injuries" sheetId="2" state="visible" r:id="rId4"/>
    <sheet name="Evidence Screening" sheetId="3" state="visible" r:id="rId5"/>
    <sheet name="Outcome Scenarios" sheetId="4" state="visible" r:id="rId6"/>
    <sheet name="Target Inputs" sheetId="5" state="visible" r:id="rId7"/>
    <sheet name="Duration Factors" sheetId="6" state="visible" r:id="rId8"/>
    <sheet name="Consequence Targets" sheetId="7" state="visible" r:id="rId9"/>
    <sheet name="Cross-Sector Allocation" sheetId="8" state="visible" r:id="rId10"/>
    <sheet name="Cross-Sector Impacts" sheetId="9" state="visible" r:id="rId11"/>
    <sheet name="Sources" sheetId="10" state="visible" r:id="rId12"/>
    <sheet name="Executive Summary" sheetId="11" state="visible" r:id="rId1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<sst xmlns="http://schemas.openxmlformats.org/spreadsheetml/2006/main" count="1669" uniqueCount="751">
  <si>
    <t xml:space="preserve">TSSRA Open-Source AI Pilot - Read Me</t>
  </si>
  <si>
    <t xml:space="preserve">Purpose</t>
  </si>
  <si>
    <t xml:space="preserve">Exploratory, open-source pilot covering every outcome family and consequence target archetype supplied by the user.</t>
  </si>
  <si>
    <t xml:space="preserve">Status</t>
  </si>
  <si>
    <t xml:space="preserve">Illustrative analytic pilot. It is not an approved TSSRA estimate, threat assessment, operational plan, or substitute for DHS/SRAD judgment.</t>
  </si>
  <si>
    <t xml:space="preserve">Security boundary</t>
  </si>
  <si>
    <t xml:space="preserve">No actual TSSRA scenario data or nonpublic information was used. Internal data should be inserted only in the DHS-approved Chat environment.</t>
  </si>
  <si>
    <t xml:space="preserve">Output interpretation</t>
  </si>
  <si>
    <t xml:space="preserve">P10/P50/P90 values are conditional consequences assuming the specified event occurs. They are not annual probabilities or expected annual loss.</t>
  </si>
  <si>
    <t xml:space="preserve">Outcome module</t>
  </si>
  <si>
    <t xml:space="preserve">Monetizes fatalities, injuries, and property damage for all 16 listed 9.0 outcome families.</t>
  </si>
  <si>
    <t xml:space="preserve">Consequence module</t>
  </si>
  <si>
    <t xml:space="preserve">Estimates first-order and second-order costs for five target archetypes across seven outage durations.</t>
  </si>
  <si>
    <t xml:space="preserve">Injury valuation</t>
  </si>
  <si>
    <t xml:space="preserve">Uses scenario-specific average MAIS fractions. Replace them with observed severity distributions when available.</t>
  </si>
  <si>
    <t xml:space="preserve">Indirect impacts</t>
  </si>
  <si>
    <t xml:space="preserve">Uses generic daily loss ranges and cross-sector allocation shares. Replace with asset-specific BEA/RIMS II, FAF, operational, and dependency inputs.</t>
  </si>
  <si>
    <t xml:space="preserve">Confidence</t>
  </si>
  <si>
    <t xml:space="preserve">High = multiple directly comparable official observations; Moderate = relevant observations with adjustment; Low = sparse data, analogy, or mechanistic modeling.</t>
  </si>
  <si>
    <t xml:space="preserve">Key definition</t>
  </si>
  <si>
    <t xml:space="preserve">IID is provisionally interpreted as improvised incendiary device. Confirm the intended TSSRA definition before use.</t>
  </si>
  <si>
    <t xml:space="preserve">Version</t>
  </si>
  <si>
    <t xml:space="preserve">Pilot 1.5 (2026-dollar escalation + cross-sector impacts view) generated 2026-08-03</t>
  </si>
  <si>
    <t xml:space="preserve">Recommended workflow: validate definitions -&gt; replace generic target parameters -&gt; validate source incidents -&gt; run sensitivity review -&gt; obtain SRAD acceptance.</t>
  </si>
  <si>
    <t xml:space="preserve">Temporal screening (mode-dependent)</t>
  </si>
  <si>
    <t xml:space="preserve">Aviation scenarios use incidents on or after September 11, 2001. Pre-2001 aviation events are excluded unless a mechanism-based justification is recorded (the mechanism must be unaffected by ATSA, hardened flight deck doors, federalized screening). All other modes may use pre-2001 incidents, but only to establish a steady-state baseline. Pre-2001 non-aviation evidence must never be pooled or compared in aggregate against aviation estimates.</t>
  </si>
  <si>
    <t xml:space="preserve">Evidence beyond terrorist incidents</t>
  </si>
  <si>
    <t xml:space="preserve">The evidence base is deliberately broader than terrorism. Accidents with comparable physical mechanisms (e.g., accidental derailment for intentional derailment) inform first- AND second-order consequences. Crime and other serious security incidents inform first-order consequences ONLY. Outage, maintenance, and non-adversarial disruption events inform second-order/indirect consequences ONLY. Non-adversarial evidence never establishes adversary intent, capability, or attack frequency.</t>
  </si>
  <si>
    <t xml:space="preserve">Wiring status (v1.3)</t>
  </si>
  <si>
    <t xml:space="preserve">The v1.1/v1.2 methods are now live in the calculations, not just documented. Injury value pulls the weapon-class blended fraction via the Weapon Class column on Outcome Scenarios (column AE, dropdown-selectable). Second-order consequence uses EFFECTIVE outage days (engineering + regulatory delay), not engineering days. The Consequence Targets grid is 45 rows (5 targets x 9 durations, now including 45 and 90 days). Prior per-scenario fractions are archived in columns AF-AH for audit. Executive Summary target references use SUMIFS on target+duration so future grid changes cannot silently misalign them.</t>
  </si>
  <si>
    <t xml:space="preserve">MAIS injury traceability</t>
  </si>
  <si>
    <t xml:space="preserve">Every MAIS level (1-6) maps to a historical TSSRA bucket: MAIS 1-2 = minor injury, MAIS 3-5 = severe injury, MAIS 6 = death. Minor and severe use distinct VSL fractions. MAIS 6 fatalities are valued through the deaths line only, never the blended injury value, so no fatality is double counted. See VSL and Injuries sheet, mapping and validation blocks.</t>
  </si>
  <si>
    <t xml:space="preserve">Hijacking scenario splits</t>
  </si>
  <si>
    <t xml:space="preserve">Passenger and cargo hijacking are each split into a traditional variant (coercion/diversion; aircraft lands) and an aircraft-as-weapon variant (9/11-style ground-target impact). Lumping these masked the catastrophic tail. AV-05a/AV-06a are traditional; AV-05b/AV-06b are aircraft-as-weapon. The aircraft-as-weapon variants use 9/11 only for the ground-impact consequence mechanism, with the temporal-screen exception recorded per scenario.</t>
  </si>
  <si>
    <t xml:space="preserve">Probability and severity (scope note)</t>
  </si>
  <si>
    <t xml:space="preserve">Weapon-class severity mixes are conditional injury distributions given an event of that mechanism. They are NOT weighted by probability of occurrence. Consequence and frequency remain separated by design; probability is a later Bayesian phase and is not folded into the blended VSL.</t>
  </si>
  <si>
    <t xml:space="preserve">Dollar basis (2026)</t>
  </si>
  <si>
    <t xml:space="preserve">Property damage and second-order/economic losses are escalated to 2026 dollars using a documented CPI-U factor (12 months ending June 2026, +3.5%, BLS), held in an editable cell on the VSL and Injuries sheet (K6). The DOT value of a statistical life keeps its official 2025 basis and is clearly labeled; escalating a statutory agency value would misrepresent it. Nominal 2025 property inputs are archived alongside the escalated values.</t>
  </si>
  <si>
    <t xml:space="preserve">Cross-sector impacts view</t>
  </si>
  <si>
    <t xml:space="preserve">A dedicated Cross-Sector Impacts sheet monetizes the CISA-sector allocation of each target second-order loss (30-day, P50, 2026 dollars), presented separately so it can be read apart from the direct-cost results. These are static screening allocations pending CGE/REMI replacement and are not additive to direct-cost totals.</t>
  </si>
  <si>
    <t xml:space="preserve">DOT Valuation of Statistical Life and Injury Severity</t>
  </si>
  <si>
    <t xml:space="preserve">Input</t>
  </si>
  <si>
    <t xml:space="preserve">Value</t>
  </si>
  <si>
    <t xml:space="preserve">Inflation Adjustment (property and economic inputs only)</t>
  </si>
  <si>
    <t xml:space="preserve">VSL (2025 dollars)</t>
  </si>
  <si>
    <t xml:space="preserve">Input dollar basis</t>
  </si>
  <si>
    <t xml:space="preserve">Guidance base year</t>
  </si>
  <si>
    <t xml:space="preserve">Target dollar basis</t>
  </si>
  <si>
    <t xml:space="preserve">Source URL</t>
  </si>
  <si>
    <t xml:space="preserve">https://www.transportation.gov/office-policy/transportation-policy/revised-departmental-guidance-on-valuation-of-a-statistical-life-in-economic-analysis</t>
  </si>
  <si>
    <t xml:space="preserve">CPI-U 12-month factor</t>
  </si>
  <si>
    <t xml:space="preserve">Basis note</t>
  </si>
  <si>
    <t xml:space="preserve">CPI-U all items, 12 months ending June 2026 = +3.5% (BLS). Interim factor; update to the finalized 2026 annual average when published.</t>
  </si>
  <si>
    <t xml:space="preserve">MAIS</t>
  </si>
  <si>
    <t xml:space="preserve">Severity</t>
  </si>
  <si>
    <t xml:space="preserve">Fraction of VSL</t>
  </si>
  <si>
    <t xml:space="preserve">Dollar Value</t>
  </si>
  <si>
    <t xml:space="preserve">Note</t>
  </si>
  <si>
    <t xml:space="preserve">Source</t>
  </si>
  <si>
    <t xml:space="preserve">U.S. BLS, CPI-U, news.release/cpi.nr0.htm (June 2026, USDL-26-1191)</t>
  </si>
  <si>
    <t xml:space="preserve">MAIS 1</t>
  </si>
  <si>
    <t xml:space="preserve">Minor</t>
  </si>
  <si>
    <t xml:space="preserve">The single averaged MAIS fraction is deprecated. Injury cost is now built from an explicit severity MIX that differs by weapon class (see below). Blast mechanisms load the high-severity tail (MAIS 4-6) that a single average understates.</t>
  </si>
  <si>
    <t xml:space="preserve">Applies to</t>
  </si>
  <si>
    <t xml:space="preserve">Property damage and second-order/economic loss inputs. NOT applied to the DOT VSL, which remains at its official 2025 value.</t>
  </si>
  <si>
    <t xml:space="preserve">MAIS 2</t>
  </si>
  <si>
    <t xml:space="preserve">Moderate</t>
  </si>
  <si>
    <t xml:space="preserve">MAIS 3</t>
  </si>
  <si>
    <t xml:space="preserve">Serious</t>
  </si>
  <si>
    <t xml:space="preserve">Factor cell reference</t>
  </si>
  <si>
    <t xml:space="preserve">'VSL and Injuries'!$K$6</t>
  </si>
  <si>
    <t xml:space="preserve">MAIS 4</t>
  </si>
  <si>
    <t xml:space="preserve">Severe</t>
  </si>
  <si>
    <t xml:space="preserve">MAIS 5</t>
  </si>
  <si>
    <t xml:space="preserve">Critical</t>
  </si>
  <si>
    <t xml:space="preserve">MAIS 6</t>
  </si>
  <si>
    <t xml:space="preserve">Fatal/unsurvivable</t>
  </si>
  <si>
    <t xml:space="preserve">Weapon-Class Severity Mix (bi-modal; replaces single averaged fraction)</t>
  </si>
  <si>
    <t xml:space="preserve">Weapon Class</t>
  </si>
  <si>
    <t xml:space="preserve">MAIS1</t>
  </si>
  <si>
    <t xml:space="preserve">MAIS2</t>
  </si>
  <si>
    <t xml:space="preserve">MAIS3</t>
  </si>
  <si>
    <t xml:space="preserve">MAIS4</t>
  </si>
  <si>
    <t xml:space="preserve">MAIS5</t>
  </si>
  <si>
    <t xml:space="preserve">Blended Fraction</t>
  </si>
  <si>
    <t xml:space="preserve">Trauma Scoring Basis</t>
  </si>
  <si>
    <t xml:space="preserve">Row Share Check</t>
  </si>
  <si>
    <t xml:space="preserve">Blunt / vehicular (MAIS-adequate)</t>
  </si>
  <si>
    <t xml:space="preserve">MAIS/AIS; blunt trauma well-characterized</t>
  </si>
  <si>
    <t xml:space="preserve">Ballistic / edged</t>
  </si>
  <si>
    <t xml:space="preserve">MAIS/AIS with penetrating-trauma tail</t>
  </si>
  <si>
    <t xml:space="preserve">Blast (primary/secondary/quaternary)</t>
  </si>
  <si>
    <t xml:space="preserve">NISS + TRISS; multi-region blast injury</t>
  </si>
  <si>
    <t xml:space="preserve">Chemical / biological</t>
  </si>
  <si>
    <t xml:space="preserve">Toxidrome severity; delayed-effect uncertainty</t>
  </si>
  <si>
    <t xml:space="preserve">Share check (each row must equal 100%)</t>
  </si>
  <si>
    <t xml:space="preserve">Use: assign each scenario a weapon class; injury value = injuries x VSL x that class blended fraction. For blast-dominant scenarios do not use a single blended civilian-crash average.</t>
  </si>
  <si>
    <t xml:space="preserve">MAIS-to-TSSRA Bucket Mapping (injury traceability)</t>
  </si>
  <si>
    <t xml:space="preserve">Every MAIS severity level maps to exactly one historical TSSRA bucket. Fatalities (MAIS 6) are valued through the deaths line, NOT the blended injury value, so no fatality is double counted. Minor and severe injury buckets use distinct VSL fractions.</t>
  </si>
  <si>
    <t xml:space="preserve">MAIS Level</t>
  </si>
  <si>
    <t xml:space="preserve">TSSRA Bucket</t>
  </si>
  <si>
    <t xml:space="preserve">VSL Fraction</t>
  </si>
  <si>
    <t xml:space="preserve">2025 Dollar Value</t>
  </si>
  <si>
    <t xml:space="preserve">Valued Through</t>
  </si>
  <si>
    <t xml:space="preserve">Minor injury</t>
  </si>
  <si>
    <t xml:space="preserve">Blended injury value</t>
  </si>
  <si>
    <t xml:space="preserve">Severe injury</t>
  </si>
  <si>
    <t xml:space="preserve">Death (fatality)</t>
  </si>
  <si>
    <t xml:space="preserve">Deaths line (VSL x fatalities) - separate from injury value</t>
  </si>
  <si>
    <t xml:space="preserve">TSSRA Bucket Definitions</t>
  </si>
  <si>
    <t xml:space="preserve">Bucket</t>
  </si>
  <si>
    <t xml:space="preserve">MAIS Range</t>
  </si>
  <si>
    <t xml:space="preserve">Definition</t>
  </si>
  <si>
    <t xml:space="preserve">MAIS 1-2</t>
  </si>
  <si>
    <t xml:space="preserve">Treated and released or short recovery; no lasting impairment</t>
  </si>
  <si>
    <t xml:space="preserve">MAIS 3-5</t>
  </si>
  <si>
    <t xml:space="preserve">Hospitalization, potential permanent impairment, high acute-care cost</t>
  </si>
  <si>
    <t xml:space="preserve">Valued at full VSL through the deaths estimate, never through the injury blend</t>
  </si>
  <si>
    <t xml:space="preserve">Weapon-Class Injury Value, Split by Severe vs Minor Bucket (per injured person)</t>
  </si>
  <si>
    <t xml:space="preserve">Shows how each weapon class blended fraction decomposes into minor (MAIS 1-2) and severe (MAIS 3-5) buckets. Minor share x its VSL fractions + severe share x its VSL fractions = the blended fraction in the mix table above. Makes the severe/minor split explicit and auditable.</t>
  </si>
  <si>
    <t xml:space="preserve">Minor Share (MAIS1-2)</t>
  </si>
  <si>
    <t xml:space="preserve">Severe Share (MAIS3-5)</t>
  </si>
  <si>
    <t xml:space="preserve">Minor $ per injured</t>
  </si>
  <si>
    <t xml:space="preserve">Severe $ per injured</t>
  </si>
  <si>
    <t xml:space="preserve">Blended $ per injured</t>
  </si>
  <si>
    <t xml:space="preserve">Check vs mix table</t>
  </si>
  <si>
    <t xml:space="preserve">Check column must be 0.000000 for every class.</t>
  </si>
  <si>
    <t xml:space="preserve">Severity-Class Application Validation</t>
  </si>
  <si>
    <t xml:space="preserve">Confirms every MAIS class referenced in the methodology is actually applied, so none is silently dropped.</t>
  </si>
  <si>
    <t xml:space="preserve">MAIS Class</t>
  </si>
  <si>
    <t xml:space="preserve">Referenced?</t>
  </si>
  <si>
    <t xml:space="preserve">Applied In</t>
  </si>
  <si>
    <t xml:space="preserve">Yes</t>
  </si>
  <si>
    <t xml:space="preserve">Minor bucket, all weapon-class mixes</t>
  </si>
  <si>
    <t xml:space="preserve">Applied</t>
  </si>
  <si>
    <t xml:space="preserve">Severe bucket, all weapon-class mixes</t>
  </si>
  <si>
    <t xml:space="preserve">Deaths line (fatalities x VSL), separate from injury blend</t>
  </si>
  <si>
    <t xml:space="preserve">Applied - fatality only</t>
  </si>
  <si>
    <t xml:space="preserve">MAIS 6 confirmation: fatalities are valued separately from the blended injury value. A fatality is counted once, through the deaths estimate. Flag any future severity class not shown as Applied.</t>
  </si>
  <si>
    <t xml:space="preserve">Evidence Screening Rules (temporal + evidence class)</t>
  </si>
  <si>
    <t xml:space="preserve">Governs which incidents may enter the evidence base and what each may be used for. Applies to every scenario and every consequence target.</t>
  </si>
  <si>
    <t xml:space="preserve">1. Temporal screening by mode</t>
  </si>
  <si>
    <t xml:space="preserve">Mode</t>
  </si>
  <si>
    <t xml:space="preserve">Period Screen</t>
  </si>
  <si>
    <t xml:space="preserve">Permitted Use</t>
  </si>
  <si>
    <t xml:space="preserve">Exception Rule</t>
  </si>
  <si>
    <t xml:space="preserve">Aggregation Rule</t>
  </si>
  <si>
    <t xml:space="preserve">Aviation (AV-01 to AV-11)</t>
  </si>
  <si>
    <t xml:space="preserve">On or after September 11, 2001</t>
  </si>
  <si>
    <t xml:space="preserve">Full use for outcome and consequence estimation</t>
  </si>
  <si>
    <t xml:space="preserve">Pre-2001 aviation incident admissible ONLY with recorded mechanism-based justification: the mechanism must be unaffected by ATSA, hardened/locked flight deck doors, federalized screening, or expanded in-flight security</t>
  </si>
  <si>
    <t xml:space="preserve">Compare only against evidence screened to the same period</t>
  </si>
  <si>
    <t xml:space="preserve">Surface, pipeline, all other modes</t>
  </si>
  <si>
    <t xml:space="preserve">Pre-2001 admissible</t>
  </si>
  <si>
    <t xml:space="preserve">Steady-state baseline ONLY (long-run rates, severity distributions, physical-mechanism behavior)</t>
  </si>
  <si>
    <t xml:space="preserve">No exception needed; regime did not undergo an equivalent discontinuity</t>
  </si>
  <si>
    <t xml:space="preserve">MUST NOT be pooled or compared in aggregate against aviation estimates</t>
  </si>
  <si>
    <t xml:space="preserve">2. Non-adversarial evidence classes and permitted scope</t>
  </si>
  <si>
    <t xml:space="preserve">Evidence Class</t>
  </si>
  <si>
    <t xml:space="preserve">Example</t>
  </si>
  <si>
    <t xml:space="preserve">Permitted Scope</t>
  </si>
  <si>
    <t xml:space="preserve">Prohibited Use</t>
  </si>
  <si>
    <t xml:space="preserve">Terrorist / intentional attack</t>
  </si>
  <si>
    <t xml:space="preserve">Vehicle ramming, aircraft hijacking</t>
  </si>
  <si>
    <t xml:space="preserve">First-order AND second-order consequences; adversary behavior</t>
  </si>
  <si>
    <t xml:space="preserve">None (primary evidence)</t>
  </si>
  <si>
    <t xml:space="preserve">Accident with comparable physical mechanism</t>
  </si>
  <si>
    <t xml:space="preserve">Accidental derailment as analog for intentional derailment; rupture, fire, collision, toxic release</t>
  </si>
  <si>
    <t xml:space="preserve">First-order AND second-order consequences; physical outcome, damage, restoration behavior</t>
  </si>
  <si>
    <t xml:space="preserve">Does not establish adversary intent, capability, target selection, or attack frequency</t>
  </si>
  <si>
    <t xml:space="preserve">Crime / other security-related serious incident</t>
  </si>
  <si>
    <t xml:space="preserve">Non-terrorist shooting or assault at a comparable target type</t>
  </si>
  <si>
    <t xml:space="preserve">First-order consequences ONLY (casualty counts, injury-severity mixes)</t>
  </si>
  <si>
    <t xml:space="preserve">Not used for indirect or cross-sector economic effects; not used for frequency</t>
  </si>
  <si>
    <t xml:space="preserve">Outage / maintenance / non-adversarial disruption</t>
  </si>
  <si>
    <t xml:space="preserve">Planned or unplanned service interruption, curtailment</t>
  </si>
  <si>
    <t xml:space="preserve">Second-order / indirect consequences ONLY (daily service-loss value, substitution, buffering, restoration curves)</t>
  </si>
  <si>
    <t xml:space="preserve">Not used to estimate casualties; not used for adversary behavior or frequency</t>
  </si>
  <si>
    <t xml:space="preserve">Mechanistic model</t>
  </si>
  <si>
    <t xml:space="preserve">Dispersion or crowd-exposure modeling where observations are absent</t>
  </si>
  <si>
    <t xml:space="preserve">Used where no observation exists; requires broad uncertainty and low confidence</t>
  </si>
  <si>
    <t xml:space="preserve">Does not raise confidence</t>
  </si>
  <si>
    <t xml:space="preserve">Per-run requirement</t>
  </si>
  <si>
    <t xml:space="preserve">Curate the referenced incident list each run: remove aviation incidents predating 2001-09-11 without recorded justification, confirm every reference is scenario-appropriate, verify no pre-2001 non-aviation evidence has been pooled into a cross-modal aggregate, and confirm each non-adversarial analog stays within its permitted scope.</t>
  </si>
  <si>
    <t xml:space="preserve">Conditional Outcome Estimates - All 9.0 Families</t>
  </si>
  <si>
    <t xml:space="preserve">ID</t>
  </si>
  <si>
    <t xml:space="preserve">Scenario</t>
  </si>
  <si>
    <t xml:space="preserve">Primary Evidence / Analogs</t>
  </si>
  <si>
    <t xml:space="preserve">Low Fatalities</t>
  </si>
  <si>
    <t xml:space="preserve">Low Injuries</t>
  </si>
  <si>
    <t xml:space="preserve">Low Injury VSL Fraction</t>
  </si>
  <si>
    <t xml:space="preserve">Low Property Damage (2026$)</t>
  </si>
  <si>
    <t xml:space="preserve">Low Casualty Value</t>
  </si>
  <si>
    <t xml:space="preserve">Low Total Direct</t>
  </si>
  <si>
    <t xml:space="preserve">Best Fatalities</t>
  </si>
  <si>
    <t xml:space="preserve">Best Injuries</t>
  </si>
  <si>
    <t xml:space="preserve">Best Injury VSL Fraction</t>
  </si>
  <si>
    <t xml:space="preserve">Best Property Damage (2026$)</t>
  </si>
  <si>
    <t xml:space="preserve">Best Casualty Value</t>
  </si>
  <si>
    <t xml:space="preserve">Best Total Direct</t>
  </si>
  <si>
    <t xml:space="preserve">High Fatalities</t>
  </si>
  <si>
    <t xml:space="preserve">High Injuries</t>
  </si>
  <si>
    <t xml:space="preserve">High Injury VSL Fraction</t>
  </si>
  <si>
    <t xml:space="preserve">High Property Damage (2026$)</t>
  </si>
  <si>
    <t xml:space="preserve">High Casualty Value</t>
  </si>
  <si>
    <t xml:space="preserve">High Total Direct</t>
  </si>
  <si>
    <t xml:space="preserve">Source IDs</t>
  </si>
  <si>
    <t xml:space="preserve">Key Assumptions</t>
  </si>
  <si>
    <t xml:space="preserve">Limitations</t>
  </si>
  <si>
    <t xml:space="preserve">Temporal Screen Applied</t>
  </si>
  <si>
    <t xml:space="preserve">Pre-2001 Exception Justification (aviation only)</t>
  </si>
  <si>
    <t xml:space="preserve">Non-Adversarial Evidence Used (class + permitted scope)</t>
  </si>
  <si>
    <t xml:space="preserve">Weapon Class (drives injury severity mix)</t>
  </si>
  <si>
    <t xml:space="preserve">Archived v1.2 Low Fraction</t>
  </si>
  <si>
    <t xml:space="preserve">Archived v1.2 Best Fraction</t>
  </si>
  <si>
    <t xml:space="preserve">Archived v1.2 High Fraction</t>
  </si>
  <si>
    <t xml:space="preserve">Property Damage (nominal 2025) - Low</t>
  </si>
  <si>
    <t xml:space="preserve">Property Damage (nominal 2025) - Best</t>
  </si>
  <si>
    <t xml:space="preserve">Property Damage (nominal 2025) - High</t>
  </si>
  <si>
    <t xml:space="preserve">AV-01</t>
  </si>
  <si>
    <t xml:space="preserve">Aviation</t>
  </si>
  <si>
    <t xml:space="preserve">All UAS against aviation</t>
  </si>
  <si>
    <t xml:space="preserve">Mechanistic + observed disruption analogs</t>
  </si>
  <si>
    <t xml:space="preserve">Low</t>
  </si>
  <si>
    <t xml:space="preserve">FAA/GAO airport UAS sightings; TSA/CISA UAS threat guidance</t>
  </si>
  <si>
    <t xml:space="preserve">S011; S012; S013</t>
  </si>
  <si>
    <t xml:space="preserve">Small-to-medium UAS event; ranges span disruption/collision through payload-enabled mass-casualty case; no active-war-zone incidents used.</t>
  </si>
  <si>
    <t xml:space="preserve">No directly comparable successful domestic aviation UAS terrorist attack; high estimate is model-derived.</t>
  </si>
  <si>
    <t xml:space="preserve">On or after 2001-09-11 (ATSA regime change)</t>
  </si>
  <si>
    <t xml:space="preserve">None taken</t>
  </si>
  <si>
    <t xml:space="preserve">To be recorded per run: accident (1st+2nd order) / crime (1st order only) / outage (2nd order only)</t>
  </si>
  <si>
    <t xml:space="preserve">AV-02</t>
  </si>
  <si>
    <t xml:space="preserve">Aircraft assault on ground</t>
  </si>
  <si>
    <t xml:space="preserve">Observed attack analog + active-shooter analogs</t>
  </si>
  <si>
    <t xml:space="preserve">Moderate-Low</t>
  </si>
  <si>
    <t xml:space="preserve">Pan Am Flight 73 ground boarding attack; airport/transport active-shooter cases</t>
  </si>
  <si>
    <t xml:space="preserve">S006; S007; S023</t>
  </si>
  <si>
    <t xml:space="preserve">Occupied passenger aircraft at gate or stand; attacker access and response time drive dispersion.</t>
  </si>
  <si>
    <t xml:space="preserve">Primary analog occurred outside the United States; aircraft and security configurations vary.</t>
  </si>
  <si>
    <t xml:space="preserve">AV-03</t>
  </si>
  <si>
    <t xml:space="preserve">Aircraft passenger assault with bladed weapons</t>
  </si>
  <si>
    <t xml:space="preserve">Observed attack/attempt analogs</t>
  </si>
  <si>
    <t xml:space="preserve">9/11 Commission documentation; federal aircraft-interference and hijacking cases</t>
  </si>
  <si>
    <t xml:space="preserve">S005; S022</t>
  </si>
  <si>
    <t xml:space="preserve">Close-quarters assault without successful use of aircraft as a weapon; intervention and cockpit security remain active mitigations.</t>
  </si>
  <si>
    <t xml:space="preserve">Small sample and major post-2001 security regime change.</t>
  </si>
  <si>
    <t xml:space="preserve">AV-04</t>
  </si>
  <si>
    <t xml:space="preserve">Airport passenger assembly assault</t>
  </si>
  <si>
    <t xml:space="preserve">Observed domestic airport + public assembly analogs</t>
  </si>
  <si>
    <t xml:space="preserve">Fort Lauderdale airport shooting; FBI active-shooter series</t>
  </si>
  <si>
    <t xml:space="preserve">S007; S023</t>
  </si>
  <si>
    <t xml:space="preserve">Public-side or baggage-claim passenger assembly; no explosive effects included.</t>
  </si>
  <si>
    <t xml:space="preserve">Casualties depend heavily on crowd density, weapon, duration, and police response.</t>
  </si>
  <si>
    <t xml:space="preserve">AV-05a</t>
  </si>
  <si>
    <t xml:space="preserve">Commercial passenger aircraft hijacking - traditional (coercion or diversion; aircraft lands)</t>
  </si>
  <si>
    <t xml:space="preserve">Attempt or advanced plot</t>
  </si>
  <si>
    <t xml:space="preserve">Post-2001 aviation hijacking attempts and thwarted takeovers; onboard assault cases</t>
  </si>
  <si>
    <t xml:space="preserve">S007; S019; S032; S033</t>
  </si>
  <si>
    <t xml:space="preserve">Objective is coercion, diversion, or hostage leverage. Hardened cockpit doors and passenger response make cockpit breach and aircraft-as-weapon use unlikely. Casualties bounded by onboard population and standoff violence; property primarily airframe and ground handling.</t>
  </si>
  <si>
    <t xml:space="preserve">Post-2001 successful U.S. passenger takeovers are near-absent; estimates rely on attempts, foreign analogs screened to post-2001, and onboard-assault mechanisms.</t>
  </si>
  <si>
    <t xml:space="preserve">Onboard-assault accident analogs used for casualty severity only (1st order); not for adversary capability.</t>
  </si>
  <si>
    <t xml:space="preserve">AV-06a</t>
  </si>
  <si>
    <t xml:space="preserve">Cargo aircraft hijacking - traditional (diversion or theft; aircraft lands)</t>
  </si>
  <si>
    <t xml:space="preserve">Cargo aircraft security incidents; ground-based cargo theft and diversion analogs</t>
  </si>
  <si>
    <t xml:space="preserve">S017; S018; S029</t>
  </si>
  <si>
    <t xml:space="preserve">Objective is theft, diversion, or ground use; minimal onboard population (crew only). Consequence dominated by airframe value and cargo loss, not mass casualty.</t>
  </si>
  <si>
    <t xml:space="preserve">Very sparse direct evidence; small cargo crews cap casualty ceilings; relies on cargo-security and diversion analogs.</t>
  </si>
  <si>
    <t xml:space="preserve">Cargo-theft and diversion accident analogs used for property/business estimates only (1st and 2nd order).</t>
  </si>
  <si>
    <t xml:space="preserve">AV-07</t>
  </si>
  <si>
    <t xml:space="preserve">Public charter hijacking</t>
  </si>
  <si>
    <t xml:space="preserve">Commercial hijacking analog with smaller occupancy</t>
  </si>
  <si>
    <t xml:space="preserve">Commercial hijacking record adjusted for charter occupancy and security variability</t>
  </si>
  <si>
    <t xml:space="preserve">S005; S006; S019</t>
  </si>
  <si>
    <t xml:space="preserve">Passenger charter aircraft; occupancy and screening controls may differ from scheduled service.</t>
  </si>
  <si>
    <t xml:space="preserve">Public charter is heterogeneous; estimate must be tailored to aircraft and passenger count.</t>
  </si>
  <si>
    <t xml:space="preserve">AV-08</t>
  </si>
  <si>
    <t xml:space="preserve">All IID on commercial passenger aircraft</t>
  </si>
  <si>
    <t xml:space="preserve">Fire/sabotage analogs + evacuation studies</t>
  </si>
  <si>
    <t xml:space="preserve">NTSB explosive/fire investigations and evacuation safety study</t>
  </si>
  <si>
    <t xml:space="preserve">S004; S025</t>
  </si>
  <si>
    <t xml:space="preserve">IID interpreted as improvised incendiary device; outcomes span contained cabin fire to loss of aircraft.</t>
  </si>
  <si>
    <t xml:space="preserve">Confirm IID definition before operational use; fire behavior varies by location and phase of flight.</t>
  </si>
  <si>
    <t xml:space="preserve">AV-09</t>
  </si>
  <si>
    <t xml:space="preserve">All IID on cargo aircraft</t>
  </si>
  <si>
    <t xml:space="preserve">Cargo-fire/sabotage analogs + mechanistic model</t>
  </si>
  <si>
    <t xml:space="preserve">NTSB fire/explosion reports and cargo-aircraft economic values</t>
  </si>
  <si>
    <t xml:space="preserve">S004; S019; S025</t>
  </si>
  <si>
    <t xml:space="preserve">IID interpreted as improvised incendiary device; limited crew but potentially high aircraft/cargo loss.</t>
  </si>
  <si>
    <t xml:space="preserve">Cargo type and fire-suppression capability materially alter outcomes.</t>
  </si>
  <si>
    <t xml:space="preserve">AV-10</t>
  </si>
  <si>
    <t xml:space="preserve">All Chem/Bio on commercial passenger aircraft</t>
  </si>
  <si>
    <t xml:space="preserve">Mechanistic toxicology model + mass-exposure guidance</t>
  </si>
  <si>
    <t xml:space="preserve">CDC chemical-agent health guidance; EPA dispersion tools; federal decontamination guidance</t>
  </si>
  <si>
    <t xml:space="preserve">S015; S016; S026</t>
  </si>
  <si>
    <t xml:space="preserve">Generic toxic chemical or biological exposure; excludes agent-specific classified parameters.</t>
  </si>
  <si>
    <t xml:space="preserve">Agent, dose, ventilation, detection, medical response, and incubation dominate results.</t>
  </si>
  <si>
    <t xml:space="preserve">AV-11</t>
  </si>
  <si>
    <t xml:space="preserve">All Chem/Bio at airport</t>
  </si>
  <si>
    <t xml:space="preserve">Mechanistic dispersion + public-space mass-exposure analogs</t>
  </si>
  <si>
    <t xml:space="preserve">CDC toxicology; EPA ALOHA/CAMEO; public mass-decontamination guidance</t>
  </si>
  <si>
    <t xml:space="preserve">Public terminal release with variable ventilation and rapid emergency response.</t>
  </si>
  <si>
    <t xml:space="preserve">Not agent-specific; high case is an intentionally broad planning bound.</t>
  </si>
  <si>
    <t xml:space="preserve">SU-01</t>
  </si>
  <si>
    <t xml:space="preserve">Surface</t>
  </si>
  <si>
    <t xml:space="preserve">Assault on surface passenger vessels/stations</t>
  </si>
  <si>
    <t xml:space="preserve">Observed transit shooting + active-shooter/European attack analogs</t>
  </si>
  <si>
    <t xml:space="preserve">Brooklyn subway mass shooting; FBI active-shooter record; Europol TE-SAT</t>
  </si>
  <si>
    <t xml:space="preserve">S008; S021; S023</t>
  </si>
  <si>
    <t xml:space="preserve">Firearm/grenade or bladed assault at vessel, station, or vehicle; ranges combine distinct subtypes.</t>
  </si>
  <si>
    <t xml:space="preserve">Scenario should eventually be separated by vessel, station, and onboard configuration.</t>
  </si>
  <si>
    <t xml:space="preserve">Pre-2001 admissible; steady-state use only; not aggregated with aviation</t>
  </si>
  <si>
    <t xml:space="preserve">n/a (non-aviation)</t>
  </si>
  <si>
    <t xml:space="preserve">SU-02</t>
  </si>
  <si>
    <t xml:space="preserve">Assault on Pipeline ICS center</t>
  </si>
  <si>
    <t xml:space="preserve">Facility assault analog + pipeline control-system consequence evidence</t>
  </si>
  <si>
    <t xml:space="preserve">FBI active-shooter distributions; NTSB SCADA/control-system investigations; CISA critical infrastructure guidance</t>
  </si>
  <si>
    <t xml:space="preserve">S003; S023; S030</t>
  </si>
  <si>
    <t xml:space="preserve">Direct casualties/property damage at control center only; pipeline service loss is modeled in the consequence module.</t>
  </si>
  <si>
    <t xml:space="preserve">Public data on pipeline-control-center attacks are extremely limited.</t>
  </si>
  <si>
    <t xml:space="preserve">SU-03</t>
  </si>
  <si>
    <t xml:space="preserve">Vehicle ramming</t>
  </si>
  <si>
    <t xml:space="preserve">Observed domestic terrorist and extremist attacks</t>
  </si>
  <si>
    <t xml:space="preserve">Moderate-High</t>
  </si>
  <si>
    <t xml:space="preserve">New York 2017 truck attack; New Orleans 2025 attack; Charlottesville 2017</t>
  </si>
  <si>
    <t xml:space="preserve">S009; S010; S027</t>
  </si>
  <si>
    <t xml:space="preserve">Single vehicle against a dense pedestrian area; excludes secondary explosives/firearms unless part of observed casualty totals.</t>
  </si>
  <si>
    <t xml:space="preserve">Vehicle mass, speed, barriers, crowd geometry, and follow-on actions strongly affect results.</t>
  </si>
  <si>
    <t xml:space="preserve">SU-04</t>
  </si>
  <si>
    <t xml:space="preserve">All UAS against surface transportation</t>
  </si>
  <si>
    <t xml:space="preserve">Mechanistic + critical-infrastructure threat guidance</t>
  </si>
  <si>
    <t xml:space="preserve">CISA UAS critical-infrastructure guidance; TSA C-UAS program; GAO unauthorized UAS findings</t>
  </si>
  <si>
    <t xml:space="preserve">Ranges cover surveillance/disruption, collision, and limited payload attack against surface systems.</t>
  </si>
  <si>
    <t xml:space="preserve">No directly comparable successful domestic terrorist event; high estimate is model-derived.</t>
  </si>
  <si>
    <t xml:space="preserve">SU-05</t>
  </si>
  <si>
    <t xml:space="preserve">Chem/Bio contamination of food transported by tanker truck</t>
  </si>
  <si>
    <t xml:space="preserve">Food-defense vulnerability framework + mechanistic public-health model</t>
  </si>
  <si>
    <t xml:space="preserve">FDA intentional-adulteration rule and bulk-food transport guidance; CDC toxicology</t>
  </si>
  <si>
    <t xml:space="preserve">S014; S015; S028</t>
  </si>
  <si>
    <t xml:space="preserve">Contamination enters a distributed food stream before detection; recalls and business interruption are excluded from outcome property damage.</t>
  </si>
  <si>
    <t xml:space="preserve">Highly sensitive to food type, dilution, dose, detection point, distribution reach, and treatment.</t>
  </si>
  <si>
    <t xml:space="preserve">AV-05b</t>
  </si>
  <si>
    <t xml:space="preserve">Commercial passenger aircraft hijacking - aircraft as weapon into populated/economic target (9/11-style)</t>
  </si>
  <si>
    <t xml:space="preserve">9/11 Commission documentation for ground-target impact mechanism; structural-collapse and mass-casualty building-impact analogs</t>
  </si>
  <si>
    <t xml:space="preserve">Objective is to use the aircraft as a weapon against a high-occupancy ground target. Casualties and property dominated by the ground target, not the aircraft; blast/structural-collapse trauma governs injury severity. This is the catastrophic tail previously buried inside the lumped hijacking family.</t>
  </si>
  <si>
    <t xml:space="preserve">Single defining U.S. event (2001) predates the post-2001 screen; used ONLY for the ground-impact mechanism, which the 2001-2002 regime change does not alter given breach. Probability of success not modeled; conditional consequence only.</t>
  </si>
  <si>
    <t xml:space="preserve">Exception taken: 9/11 used for ground-impact CONSEQUENCE mechanism only. Hardened doors/ATSA screening reduce likelihood of breach but do not change the physical consequence conditional on aircraft-as-weapon use. Recorded per Section 4.4.</t>
  </si>
  <si>
    <t xml:space="preserve">Building-collapse and mass-casualty structural analogs used for casualty/property scale (1st order) only; not for adversary capability or feasibility.</t>
  </si>
  <si>
    <t xml:space="preserve">AV-06b</t>
  </si>
  <si>
    <t xml:space="preserve">Cargo aircraft hijacking - aircraft as weapon into populated/economic target</t>
  </si>
  <si>
    <t xml:space="preserve">Aircraft-as-weapon ground-impact mechanism (as AV-05b), scaled to cargo airframe; no onboard passenger load</t>
  </si>
  <si>
    <t xml:space="preserve">S017; S018; S029; S032</t>
  </si>
  <si>
    <t xml:space="preserve">Same aircraft-as-weapon mechanism as AV-05b with a cargo airframe: no passenger load, so onboard casualties minimal and total casualties driven by the ground target. Cargo aircraft may carry larger long-haul fuel load, kept in the high case.</t>
  </si>
  <si>
    <t xml:space="preserve">No observed cargo aircraft-as-weapon event; scale inferred from the passenger aircraft-as-weapon mechanism and ground-target analogs. Conditional consequence only; likelihood not modeled.</t>
  </si>
  <si>
    <t xml:space="preserve">Exception taken: ground-impact mechanism inferred from 9/11 consequence physics, applied to cargo airframe. Recorded per Section 4.4.</t>
  </si>
  <si>
    <t xml:space="preserve">Ground-target structural analogs used for consequence scale only; cargo-specific fuel-load analogs for property.</t>
  </si>
  <si>
    <t xml:space="preserve">Consequence Target Archetype Inputs</t>
  </si>
  <si>
    <t xml:space="preserve">Target</t>
  </si>
  <si>
    <t xml:space="preserve">Scope</t>
  </si>
  <si>
    <t xml:space="preserve">Minimum Material Outage (h)</t>
  </si>
  <si>
    <t xml:space="preserve">P50 Restoration (h)</t>
  </si>
  <si>
    <t xml:space="preserve">P90 Restoration (h)</t>
  </si>
  <si>
    <t xml:space="preserve">Low Deaths</t>
  </si>
  <si>
    <t xml:space="preserve">Low Injury Fraction</t>
  </si>
  <si>
    <t xml:space="preserve">Low Infrastructure Damage</t>
  </si>
  <si>
    <t xml:space="preserve">Low Daily Indirect Loss</t>
  </si>
  <si>
    <t xml:space="preserve">Best Deaths</t>
  </si>
  <si>
    <t xml:space="preserve">Best Injury Fraction</t>
  </si>
  <si>
    <t xml:space="preserve">Best Infrastructure Damage</t>
  </si>
  <si>
    <t xml:space="preserve">Best Daily Indirect Loss</t>
  </si>
  <si>
    <t xml:space="preserve">High Deaths</t>
  </si>
  <si>
    <t xml:space="preserve">High Injury Fraction</t>
  </si>
  <si>
    <t xml:space="preserve">High Infrastructure Damage</t>
  </si>
  <si>
    <t xml:space="preserve">High Daily Indirect Loss</t>
  </si>
  <si>
    <t xml:space="preserve">Assumptions</t>
  </si>
  <si>
    <t xml:space="preserve">Regulatory-Delay Days (CAO/site-control/pressure-restriction)</t>
  </si>
  <si>
    <t xml:space="preserve">Effective P90 Restoration (h)</t>
  </si>
  <si>
    <t xml:space="preserve">Pipeline Segment</t>
  </si>
  <si>
    <t xml:space="preserve">Representative hazardous-liquid or natural-gas transmission segment</t>
  </si>
  <si>
    <t xml:space="preserve">S017; S029; S030; S031</t>
  </si>
  <si>
    <t xml:space="preserve">Daily indirect loss represents affected commodity value, substitution, curtailment, and dependent-sector disruption; excludes price-spike transfers.</t>
  </si>
  <si>
    <t xml:space="preserve">Pump Station</t>
  </si>
  <si>
    <t xml:space="preserve">Representative liquid-pipeline pump station</t>
  </si>
  <si>
    <t xml:space="preserve">S017; S029; S031</t>
  </si>
  <si>
    <t xml:space="preserve">Assumes partial rerouting/storage capability in low and central cases; no system-specific topology is embedded.</t>
  </si>
  <si>
    <t xml:space="preserve">Compressor Station</t>
  </si>
  <si>
    <t xml:space="preserve">Representative natural-gas compressor station</t>
  </si>
  <si>
    <t xml:space="preserve">Indirect loss depends on season, storage, network redundancy, affected customers, and gas-fired generation exposure.</t>
  </si>
  <si>
    <t xml:space="preserve">Airport Terminal</t>
  </si>
  <si>
    <t xml:space="preserve">Representative large-hub passenger terminal or major terminal complex</t>
  </si>
  <si>
    <t xml:space="preserve">Daily indirect loss includes displaced aviation activity, passenger delay, airport concessions, air cargo, and visitor effects; not airport-specific.</t>
  </si>
  <si>
    <t xml:space="preserve">Freight Rail</t>
  </si>
  <si>
    <t xml:space="preserve">Representative nationally significant freight-rail corridor, bridge, tunnel, yard, or intermodal node</t>
  </si>
  <si>
    <t xml:space="preserve">S018; S020; S034</t>
  </si>
  <si>
    <t xml:space="preserve">Indirect loss reflects delayed/lost freight value and dependent production; substitute routing is represented only through the range.</t>
  </si>
  <si>
    <t xml:space="preserve">Regulatory reality note</t>
  </si>
  <si>
    <t xml:space="preserve">Engineering P90 restoration understates outage for regulated assets. Effective P90 adds the federal regulatory lifecycle (NTSB site control, PHMSA Corrective Action Order, metallurgical/forensic testing, and mandatory post-restart pressure restrictions). Danville PIR22002 confirms multi-week to multi-month effective outage for a major transmission segment.</t>
  </si>
  <si>
    <t xml:space="preserve">Outage Duration and Escalation Factors</t>
  </si>
  <si>
    <t xml:space="preserve">Duration Label</t>
  </si>
  <si>
    <t xml:space="preserve">Hours</t>
  </si>
  <si>
    <t xml:space="preserve">Days</t>
  </si>
  <si>
    <t xml:space="preserve">Escalation / Buffer Factor</t>
  </si>
  <si>
    <t xml:space="preserve">Regulatory-Delay Add-On (days)</t>
  </si>
  <si>
    <t xml:space="preserve">Basis</t>
  </si>
  <si>
    <t xml:space="preserve">Effective Outage Days (eng + regulatory)</t>
  </si>
  <si>
    <t xml:space="preserve">4 hours</t>
  </si>
  <si>
    <t xml:space="preserve">Minor; no formal hold</t>
  </si>
  <si>
    <t xml:space="preserve">12 hours</t>
  </si>
  <si>
    <t xml:space="preserve">1 day</t>
  </si>
  <si>
    <t xml:space="preserve">Possible incident notification</t>
  </si>
  <si>
    <t xml:space="preserve">3 days</t>
  </si>
  <si>
    <t xml:space="preserve">NTSB/PHMSA notification; short hold</t>
  </si>
  <si>
    <t xml:space="preserve">7 days</t>
  </si>
  <si>
    <t xml:space="preserve">Site control + initial CAO</t>
  </si>
  <si>
    <t xml:space="preserve">14 days</t>
  </si>
  <si>
    <t xml:space="preserve">CAO + metallurgical/forensic testing</t>
  </si>
  <si>
    <t xml:space="preserve">30 days</t>
  </si>
  <si>
    <t xml:space="preserve">CAO + mandatory post-restart pressure restriction ramp</t>
  </si>
  <si>
    <t xml:space="preserve">45 days</t>
  </si>
  <si>
    <t xml:space="preserve">Prolonged CAO; extensive replacement + phased restart</t>
  </si>
  <si>
    <t xml:space="preserve">90 days</t>
  </si>
  <si>
    <t xml:space="preserve">Full CAO lifecycle; hydro-test + regulator sign-off before full pressure</t>
  </si>
  <si>
    <t xml:space="preserve">Escalation / buffer factor</t>
  </si>
  <si>
    <t xml:space="preserve">Represents inventories, linepack, rerouting, schedule recovery, and increasing cascade severity as outages persist.</t>
  </si>
  <si>
    <t xml:space="preserve">Use</t>
  </si>
  <si>
    <t xml:space="preserve">Multiply daily indirect loss by outage days and this factor. Replace with target-specific recovery curves when available.</t>
  </si>
  <si>
    <t xml:space="preserve">Regulatory-delay add-on</t>
  </si>
  <si>
    <t xml:space="preserve">Days added to engineering restoration for forensic hold, NTSB site control, PHMSA Corrective Action Orders (CAOs), and mandatory post-restart pressure restrictions. The Danville PIR22002 transmission rupture confirms that a 14-day cap for a major pipeline is an engineering fiction once the regulatory lifecycle is included.</t>
  </si>
  <si>
    <t xml:space="preserve">Multiply daily indirect loss by EFFECTIVE outage days (column G) and the escalation/buffer factor. Replace with target-specific recovery + regulatory curves when available.</t>
  </si>
  <si>
    <t xml:space="preserve">First- and Second-Order Consequences by Target and Outage Duration</t>
  </si>
  <si>
    <t xml:space="preserve">Outage</t>
  </si>
  <si>
    <t xml:space="preserve">Escalation Factor</t>
  </si>
  <si>
    <t xml:space="preserve">Low Daily Indirect</t>
  </si>
  <si>
    <t xml:space="preserve">Low First Order</t>
  </si>
  <si>
    <t xml:space="preserve">Low Second Order</t>
  </si>
  <si>
    <t xml:space="preserve">Low Total</t>
  </si>
  <si>
    <t xml:space="preserve">Best Daily Indirect</t>
  </si>
  <si>
    <t xml:space="preserve">Best First Order</t>
  </si>
  <si>
    <t xml:space="preserve">Best Second Order</t>
  </si>
  <si>
    <t xml:space="preserve">Best Total</t>
  </si>
  <si>
    <t xml:space="preserve">High Daily Indirect</t>
  </si>
  <si>
    <t xml:space="preserve">High First Order</t>
  </si>
  <si>
    <t xml:space="preserve">High Second Order</t>
  </si>
  <si>
    <t xml:space="preserve">High Total</t>
  </si>
  <si>
    <t xml:space="preserve">Illustrative Static Screening Allocation of Second-Order Consequences Across CISA Sectors (pending CGE/REMI replacement)</t>
  </si>
  <si>
    <t xml:space="preserve">CISA Sector</t>
  </si>
  <si>
    <t xml:space="preserve">Share of Second-Order Loss</t>
  </si>
  <si>
    <t xml:space="preserve">Dependency Rationale</t>
  </si>
  <si>
    <t xml:space="preserve">Evidence Status</t>
  </si>
  <si>
    <t xml:space="preserve">Validation Note</t>
  </si>
  <si>
    <t xml:space="preserve">Share Check</t>
  </si>
  <si>
    <t xml:space="preserve">Method status and required transition</t>
  </si>
  <si>
    <t xml:space="preserve">Chemical</t>
  </si>
  <si>
    <t xml:space="preserve">Feedstock/product movement and energy dependence.</t>
  </si>
  <si>
    <t xml:space="preserve">Illustrative allocation</t>
  </si>
  <si>
    <t xml:space="preserve">S017; S029; S030; S031; S002; S003</t>
  </si>
  <si>
    <t xml:space="preserve">Replace with asset-specific dependency mapping and approved multipliers.</t>
  </si>
  <si>
    <t xml:space="preserve">- These shares are STATIC screening assumptions (RIMS II-style fixed coefficients). They cannot capture non-linear network failure, capacity constraints, price-spike transfers, or behavioral shocks.</t>
  </si>
  <si>
    <t xml:space="preserve">Commercial Facilities</t>
  </si>
  <si>
    <t xml:space="preserve">Passenger, workforce, retail, hospitality, and facility-access losses.</t>
  </si>
  <si>
    <t xml:space="preserve">- Required transition: replace/supplement with a dynamic Computable General Equilibrium (CGE) model or a REMI platform before any resource-allocation use.</t>
  </si>
  <si>
    <t xml:space="preserve">Communications</t>
  </si>
  <si>
    <t xml:space="preserve">Power, equipment, workforce access, and logistics dependencies.</t>
  </si>
  <si>
    <t xml:space="preserve">- CGE/REMI captures: substitution under constraint, cascading capacity limits, price transmission, and third-order macroeconomic behavior (e.g., panic-buying and commodity hoarding seen in the Colonial Pipeline event).</t>
  </si>
  <si>
    <t xml:space="preserve">Critical Manufacturing</t>
  </si>
  <si>
    <t xml:space="preserve">Input shortages, delayed components, and production interruption.</t>
  </si>
  <si>
    <t xml:space="preserve">- Until replaced, treat this sheet only as a pointer to which sector pathways need asset-specific modeling.</t>
  </si>
  <si>
    <t xml:space="preserve">Dams</t>
  </si>
  <si>
    <t xml:space="preserve">Limited indirect exposure through power, access, and maintenance logistics.</t>
  </si>
  <si>
    <t xml:space="preserve">Defense Industrial Base</t>
  </si>
  <si>
    <t xml:space="preserve">Publicly observable logistics and supplier exposure; not classified mission impact.</t>
  </si>
  <si>
    <t xml:space="preserve">Emergency Services</t>
  </si>
  <si>
    <t xml:space="preserve">Response demand, access, fuel, and mutual-aid movement.</t>
  </si>
  <si>
    <t xml:space="preserve">Energy</t>
  </si>
  <si>
    <t xml:space="preserve">Fuel or natural-gas availability, electric generation, and operating energy dependencies.</t>
  </si>
  <si>
    <t xml:space="preserve">Financial Services</t>
  </si>
  <si>
    <t xml:space="preserve">Payment, insurance, market, and business interruption effects.</t>
  </si>
  <si>
    <t xml:space="preserve">Food and Agriculture</t>
  </si>
  <si>
    <t xml:space="preserve">Cold chain, bulk transport, inventory, and market-access effects.</t>
  </si>
  <si>
    <t xml:space="preserve">Government Services and Facilities</t>
  </si>
  <si>
    <t xml:space="preserve">Workforce, continuity, and service-delivery disruption.</t>
  </si>
  <si>
    <t xml:space="preserve">Healthcare and Public Health</t>
  </si>
  <si>
    <t xml:space="preserve">Medical logistics, workforce access, and emergency demand.</t>
  </si>
  <si>
    <t xml:space="preserve">Information Technology</t>
  </si>
  <si>
    <t xml:space="preserve">Data-center, hardware, workforce, and service-support dependencies.</t>
  </si>
  <si>
    <t xml:space="preserve">Nuclear Reactors, Materials, and Waste</t>
  </si>
  <si>
    <t xml:space="preserve">Fuel, specialist logistics, workforce, and material movement.</t>
  </si>
  <si>
    <t xml:space="preserve">Transportation Systems</t>
  </si>
  <si>
    <t xml:space="preserve">Direct modal service loss, substitution, delay, and network recovery.</t>
  </si>
  <si>
    <t xml:space="preserve">Water and Wastewater</t>
  </si>
  <si>
    <t xml:space="preserve">Chemical delivery, power/fuel, and maintenance logistics.</t>
  </si>
  <si>
    <t xml:space="preserve">S017; S029; S031; S002; S003</t>
  </si>
  <si>
    <t xml:space="preserve">S007; S019; S032; S033; S002; S003</t>
  </si>
  <si>
    <t xml:space="preserve">S018; S020; S034; S002; S003</t>
  </si>
  <si>
    <t xml:space="preserve">Third-Order Behavioral / Macroeconomic Shock (screening flags, NOT in static shares above)</t>
  </si>
  <si>
    <t xml:space="preserve">Shock Channel</t>
  </si>
  <si>
    <t xml:space="preserve">Trigger Condition</t>
  </si>
  <si>
    <t xml:space="preserve">Illustrative Analog</t>
  </si>
  <si>
    <t xml:space="preserve">Modeling Requirement</t>
  </si>
  <si>
    <t xml:space="preserve">Panic-buying / hoarding</t>
  </si>
  <si>
    <t xml:space="preserve">Fuel or food outage perceived as prolonged</t>
  </si>
  <si>
    <t xml:space="preserve">Colonial Pipeline (2021) regional fuel runs</t>
  </si>
  <si>
    <t xml:space="preserve">CGE with demand-shock elasticity; not a fixed multiplier</t>
  </si>
  <si>
    <t xml:space="preserve">Price-spike transfer</t>
  </si>
  <si>
    <t xml:space="preserve">Constrained supply + inelastic demand</t>
  </si>
  <si>
    <t xml:space="preserve">Fuel/commodity price surges post-disruption</t>
  </si>
  <si>
    <t xml:space="preserve">Price transmission module (excluded from static shares)</t>
  </si>
  <si>
    <t xml:space="preserve">Confidence / avoidance</t>
  </si>
  <si>
    <t xml:space="preserve">High-salience terror event at public transport hub</t>
  </si>
  <si>
    <t xml:space="preserve">Post-attack ridership and travel avoidance</t>
  </si>
  <si>
    <t xml:space="preserve">Behavioral demand model with recovery decay</t>
  </si>
  <si>
    <t xml:space="preserve">Insurance / capital repricing</t>
  </si>
  <si>
    <t xml:space="preserve">Large or repeated critical-infrastructure loss</t>
  </si>
  <si>
    <t xml:space="preserve">Post-event risk repricing</t>
  </si>
  <si>
    <t xml:space="preserve">Financial-sector dynamic feedback</t>
  </si>
  <si>
    <t xml:space="preserve">Cross-Sector Impacts of Modeled Scenarios (2026 dollars)</t>
  </si>
  <si>
    <t xml:space="preserve">Standalone view of how each target scenario second-order loss distributes across CISA critical-infrastructure sectors. Dollar figures apply the static screening shares (Cross-Sector Allocation sheet) to the 2026-escalated second-order consequence at the 30-day outage duration, best (P50) estimate. These are screening allocations pending CGE/REMI replacement; they are NOT additive to the direct-cost totals and are presented separately so they can be read on their own.</t>
  </si>
  <si>
    <t xml:space="preserve">Pipeline Segment (2026$)</t>
  </si>
  <si>
    <t xml:space="preserve">Pump Station (2026$)</t>
  </si>
  <si>
    <t xml:space="preserve">Compressor Station (2026$)</t>
  </si>
  <si>
    <t xml:space="preserve">Airport Terminal (2026$)</t>
  </si>
  <si>
    <t xml:space="preserve">Freight Rail (2026$)</t>
  </si>
  <si>
    <t xml:space="preserve">Sector Total (2026$)</t>
  </si>
  <si>
    <t xml:space="preserve">Target Second-Order Total (30d, P50)</t>
  </si>
  <si>
    <t xml:space="preserve">Approved Public Source Catalog Used in the Pilot</t>
  </si>
  <si>
    <t xml:space="preserve">Source ID</t>
  </si>
  <si>
    <t xml:space="preserve">Agency / Organization</t>
  </si>
  <si>
    <t xml:space="preserve">Title</t>
  </si>
  <si>
    <t xml:space="preserve">URL</t>
  </si>
  <si>
    <t xml:space="preserve">Analytic Role</t>
  </si>
  <si>
    <t xml:space="preserve">Applied To</t>
  </si>
  <si>
    <t xml:space="preserve">S001</t>
  </si>
  <si>
    <t xml:space="preserve">U.S. Department of Transportation</t>
  </si>
  <si>
    <t xml:space="preserve">Revised Departmental Guidance on Valuation of a Statistical Life in Economic Analysis</t>
  </si>
  <si>
    <t xml:space="preserve">VSL and injury valuation basis</t>
  </si>
  <si>
    <t xml:space="preserve">All scenarios and targets</t>
  </si>
  <si>
    <t xml:space="preserve">S002</t>
  </si>
  <si>
    <t xml:space="preserve">Bureau of Economic Analysis</t>
  </si>
  <si>
    <t xml:space="preserve">Input-Output Accounts data and methodology</t>
  </si>
  <si>
    <t xml:space="preserve">https://www.bea.gov/data/industries/input-output-accounts-data</t>
  </si>
  <si>
    <t xml:space="preserve">Cross-industry dependency and indirect-consequence framework</t>
  </si>
  <si>
    <t xml:space="preserve">Consequence model</t>
  </si>
  <si>
    <t xml:space="preserve">S003</t>
  </si>
  <si>
    <t xml:space="preserve">Cybersecurity and Infrastructure Security Agency</t>
  </si>
  <si>
    <t xml:space="preserve">Critical Infrastructure Sectors</t>
  </si>
  <si>
    <t xml:space="preserve">https://www.cisa.gov/topics/critical-infrastructure-security-and-resilience/critical-infrastructure-sectors</t>
  </si>
  <si>
    <t xml:space="preserve">Sector taxonomy and dependency framing</t>
  </si>
  <si>
    <t xml:space="preserve">Cross-sector model</t>
  </si>
  <si>
    <t xml:space="preserve">S004</t>
  </si>
  <si>
    <t xml:space="preserve">National Transportation Safety Board</t>
  </si>
  <si>
    <t xml:space="preserve">Aviation accident reports and sabotage/explosion investigations</t>
  </si>
  <si>
    <t xml:space="preserve">https://www.ntsb.gov/investigations/AccidentReports/Pages/Reports.aspx</t>
  </si>
  <si>
    <t xml:space="preserve">Aircraft fire/explosion and consequence analogs</t>
  </si>
  <si>
    <t xml:space="preserve">AV-08; AV-09</t>
  </si>
  <si>
    <t xml:space="preserve">S005</t>
  </si>
  <si>
    <t xml:space="preserve">National Commission on Terrorist Attacks Upon the United States</t>
  </si>
  <si>
    <t xml:space="preserve">The 9/11 Commission Report</t>
  </si>
  <si>
    <t xml:space="preserve">https://9-11commission.gov/report/911Report.pdf</t>
  </si>
  <si>
    <t xml:space="preserve">Hijacking and bladed-weapon attack evidence</t>
  </si>
  <si>
    <t xml:space="preserve">AV-03; AV-05; AV-06; AV-07</t>
  </si>
  <si>
    <t xml:space="preserve">S006</t>
  </si>
  <si>
    <t xml:space="preserve">U.S. Department of Justice</t>
  </si>
  <si>
    <t xml:space="preserve">Pan Am Flight 73 sentencing memorandum / Safarini case</t>
  </si>
  <si>
    <t xml:space="preserve">https://www.justice.gov/sites/default/files/usao-dc/legacy/2013/08/07/pan_am_73_sentg_memo.pdf</t>
  </si>
  <si>
    <t xml:space="preserve">Ground aircraft assault and hijacking analog</t>
  </si>
  <si>
    <t xml:space="preserve">AV-02; AV-05; AV-07</t>
  </si>
  <si>
    <t xml:space="preserve">S007</t>
  </si>
  <si>
    <t xml:space="preserve">Federal Bureau of Investigation</t>
  </si>
  <si>
    <t xml:space="preserve">Active Shooter Incidents in the United States, 2000-2018</t>
  </si>
  <si>
    <t xml:space="preserve">https://www.fbi.gov/file-repository/active-shooter-incidents-2000-2018.pdf</t>
  </si>
  <si>
    <t xml:space="preserve">Airport passenger-assembly and facility assault casualty analogs</t>
  </si>
  <si>
    <t xml:space="preserve">AV-04; SU-02</t>
  </si>
  <si>
    <t xml:space="preserve">S008</t>
  </si>
  <si>
    <t xml:space="preserve">Frank James sentenced for Brooklyn subway mass shooting</t>
  </si>
  <si>
    <t xml:space="preserve">https://www.fbi.gov/contact-us/field-offices/newyork/news/frank-james-sentenced-to-life-in-prison-for-subway-mass-shooting</t>
  </si>
  <si>
    <t xml:space="preserve">Surface passenger system assault analog</t>
  </si>
  <si>
    <t xml:space="preserve">S009</t>
  </si>
  <si>
    <t xml:space="preserve">Sayfullo Saipov sentencing for 2017 New York truck attack</t>
  </si>
  <si>
    <t xml:space="preserve">https://www.justice.gov/archives/opa/pr/judge-imposes-eight-consecutive-life-sentences-plus-260-years-prison-isis-inspired-2017</t>
  </si>
  <si>
    <t xml:space="preserve">Vehicle-ramming casualty analog</t>
  </si>
  <si>
    <t xml:space="preserve">S010</t>
  </si>
  <si>
    <t xml:space="preserve">Bourbon Street Attack Investigation Updates</t>
  </si>
  <si>
    <t xml:space="preserve">https://www.fbi.gov/news/press-releases/bourbon-street-attack-investigation-updates</t>
  </si>
  <si>
    <t xml:space="preserve">S011</t>
  </si>
  <si>
    <t xml:space="preserve">U.S. Government Accountability Office</t>
  </si>
  <si>
    <t xml:space="preserve">Federal Efforts to Address Unauthorized Drone Flights Near Airports</t>
  </si>
  <si>
    <t xml:space="preserve">https://www.gao.gov/products/gao-24-107195</t>
  </si>
  <si>
    <t xml:space="preserve">UAS aviation hazard, incident, and mitigation evidence</t>
  </si>
  <si>
    <t xml:space="preserve">AV-01; SU-04</t>
  </si>
  <si>
    <t xml:space="preserve">S012</t>
  </si>
  <si>
    <t xml:space="preserve">Transportation Security Administration</t>
  </si>
  <si>
    <t xml:space="preserve">Counter-Unmanned Aircraft Systems Test Bed Program</t>
  </si>
  <si>
    <t xml:space="preserve">https://www.tsa.gov/for-industry/c-uas</t>
  </si>
  <si>
    <t xml:space="preserve">Aviation UAS mitigation and threat framing</t>
  </si>
  <si>
    <t xml:space="preserve">S013</t>
  </si>
  <si>
    <t xml:space="preserve">Be Air Aware / Protect Critical Infrastructure and Public Gatherings</t>
  </si>
  <si>
    <t xml:space="preserve">https://www.cisa.gov/topics/physical-security/be-air-aware/protect-critical-infrastructure-and-public-gatherings</t>
  </si>
  <si>
    <t xml:space="preserve">Surface and critical-infrastructure UAS threat framing</t>
  </si>
  <si>
    <t xml:space="preserve">S014</t>
  </si>
  <si>
    <t xml:space="preserve">Food and Drug Administration</t>
  </si>
  <si>
    <t xml:space="preserve">Mitigation Strategies to Protect Food Against Intentional Adulteration</t>
  </si>
  <si>
    <t xml:space="preserve">https://www.fda.gov/media/113684/download</t>
  </si>
  <si>
    <t xml:space="preserve">Food-defense vulnerability and mitigation framework</t>
  </si>
  <si>
    <t xml:space="preserve">S015</t>
  </si>
  <si>
    <t xml:space="preserve">Centers for Disease Control and Prevention</t>
  </si>
  <si>
    <t xml:space="preserve">Chemical emergency and nerve-agent medical guidance</t>
  </si>
  <si>
    <t xml:space="preserve">https://www.cdc.gov/chemical-emergencies/chemical-fact-sheets/sarin.html</t>
  </si>
  <si>
    <t xml:space="preserve">Health-effect and severity framing for chemical exposure</t>
  </si>
  <si>
    <t xml:space="preserve">AV-10; AV-11; SU-05</t>
  </si>
  <si>
    <t xml:space="preserve">S016</t>
  </si>
  <si>
    <t xml:space="preserve">Environmental Protection Agency</t>
  </si>
  <si>
    <t xml:space="preserve">ALOHA Software / CAMEO chemical consequence modeling</t>
  </si>
  <si>
    <t xml:space="preserve">https://www.epa.gov/cameo/aloha-software</t>
  </si>
  <si>
    <t xml:space="preserve">Chemical plume consequence modeling framework</t>
  </si>
  <si>
    <t xml:space="preserve">AV-10; AV-11</t>
  </si>
  <si>
    <t xml:space="preserve">S017</t>
  </si>
  <si>
    <t xml:space="preserve">Pipeline and Hazardous Materials Safety Administration</t>
  </si>
  <si>
    <t xml:space="preserve">Pipeline accident and incident data</t>
  </si>
  <si>
    <t xml:space="preserve">https://www.phmsa.dot.gov/data-and-statistics/pipeline/distribution-transmission-gathering-lng-and-liquid-accident-and-incident-data</t>
  </si>
  <si>
    <t xml:space="preserve">Pipeline casualties, property damage, and restoration analogs</t>
  </si>
  <si>
    <t xml:space="preserve">Pipeline Segment; Pump Station; Compressor Station</t>
  </si>
  <si>
    <t xml:space="preserve">S018</t>
  </si>
  <si>
    <t xml:space="preserve">Federal Railroad Administration</t>
  </si>
  <si>
    <t xml:space="preserve">FRA Safety Data and Statistics</t>
  </si>
  <si>
    <t xml:space="preserve">https://safetydata.fra.dot.gov/</t>
  </si>
  <si>
    <t xml:space="preserve">Rail casualties, damage, and accident records</t>
  </si>
  <si>
    <t xml:space="preserve">S019</t>
  </si>
  <si>
    <t xml:space="preserve">Federal Aviation Administration</t>
  </si>
  <si>
    <t xml:space="preserve">Aviation Economic Impact Report</t>
  </si>
  <si>
    <t xml:space="preserve">https://www.faa.gov/economic-impact</t>
  </si>
  <si>
    <t xml:space="preserve">Aviation economic activity and indirect-impact structure</t>
  </si>
  <si>
    <t xml:space="preserve">Airport Terminal; AV-05; AV-06; AV-07; AV-09</t>
  </si>
  <si>
    <t xml:space="preserve">S020</t>
  </si>
  <si>
    <t xml:space="preserve">Bureau of Transportation Statistics</t>
  </si>
  <si>
    <t xml:space="preserve">Freight Analysis Framework</t>
  </si>
  <si>
    <t xml:space="preserve">https://www.bts.gov/faf</t>
  </si>
  <si>
    <t xml:space="preserve">Freight value, tonnage, mode, and geographic-flow evidence</t>
  </si>
  <si>
    <t xml:space="preserve">Freight Rail; Pipeline targets</t>
  </si>
  <si>
    <t xml:space="preserve">S021</t>
  </si>
  <si>
    <t xml:space="preserve">Europol</t>
  </si>
  <si>
    <t xml:space="preserve">European Union Terrorism Situation and Trend Report 2025</t>
  </si>
  <si>
    <t xml:space="preserve">https://www.europol.europa.eu/cms/sites/default/files/documents/EU_TE-SAT_2025.pdf</t>
  </si>
  <si>
    <t xml:space="preserve">Official Western European attack and trend analogs</t>
  </si>
  <si>
    <t xml:space="preserve">SU-01; general outcome validation</t>
  </si>
  <si>
    <t xml:space="preserve">S022</t>
  </si>
  <si>
    <t xml:space="preserve">Khalid Sheikh Mohammed indictment and aviation attack allegations</t>
  </si>
  <si>
    <t xml:space="preserve">https://www.justice.gov/archive/opa/documents/ksm-indictment.pdf</t>
  </si>
  <si>
    <t xml:space="preserve">Bladed-weapon/hijacking mechanism evidence</t>
  </si>
  <si>
    <t xml:space="preserve">S023</t>
  </si>
  <si>
    <t xml:space="preserve">A Study of Active Shooter Incidents in the United States, 2000-2013</t>
  </si>
  <si>
    <t xml:space="preserve">https://www.fbi.gov/file-repository/active-shooter-study-2000-2013-1.pdf</t>
  </si>
  <si>
    <t xml:space="preserve">Casualty distributions and response-sensitive outcome analogs</t>
  </si>
  <si>
    <t xml:space="preserve">AV-02; AV-04; SU-01; SU-02</t>
  </si>
  <si>
    <t xml:space="preserve">S024</t>
  </si>
  <si>
    <t xml:space="preserve">Aircraft accident report: explosive device detonation</t>
  </si>
  <si>
    <t xml:space="preserve">https://www.ntsb.gov/investigations/AccidentReports/Reports/AAR7507.pdf</t>
  </si>
  <si>
    <t xml:space="preserve">Aviation explosive/sabotage consequence analog</t>
  </si>
  <si>
    <t xml:space="preserve">AV-05; AV-06</t>
  </si>
  <si>
    <t xml:space="preserve">S025</t>
  </si>
  <si>
    <t xml:space="preserve">Emergency Evacuation of Commercial Airplanes</t>
  </si>
  <si>
    <t xml:space="preserve">https://www.ntsb.gov/safety/safety-studies/Documents/SS0001.pdf</t>
  </si>
  <si>
    <t xml:space="preserve">Evacuation, smoke/fire, and survivability evidence</t>
  </si>
  <si>
    <t xml:space="preserve">S026</t>
  </si>
  <si>
    <t xml:space="preserve">CDC/DHS/HHS</t>
  </si>
  <si>
    <t xml:space="preserve">Evidence-Based Patient Decontamination / national mass chemical exposure guidance</t>
  </si>
  <si>
    <t xml:space="preserve">https://stacks.cdc.gov/view/cdc/117331/cdc_117331_DS1.pdf</t>
  </si>
  <si>
    <t xml:space="preserve">Mass exposure response and injury-severity uncertainty</t>
  </si>
  <si>
    <t xml:space="preserve">S027</t>
  </si>
  <si>
    <t xml:space="preserve">Charlottesville vehicle attack sentencing</t>
  </si>
  <si>
    <t xml:space="preserve">https://www.justice.gov/archives/opa/pr/ohio-man-sentenced-life-prison-federal-hate-crimes-related-august-2017-car-attack-rally</t>
  </si>
  <si>
    <t xml:space="preserve">S028</t>
  </si>
  <si>
    <t xml:space="preserve">Food Security Preventive Measures Guidance for Dairy Farms and Bulk Milk Transporters</t>
  </si>
  <si>
    <t xml:space="preserve">https://www.fda.gov/regulatory-information/search-fda-guidance-documents/guidance-industry-food-security-preventive-measures-guidance-dairy-farms-bulk-milk-transporters-bulk</t>
  </si>
  <si>
    <t xml:space="preserve">Bulk-food transport vulnerability framing; contextual only</t>
  </si>
  <si>
    <t xml:space="preserve">S029</t>
  </si>
  <si>
    <t xml:space="preserve">Enbridge natural gas transmission pipeline rupture and fire, Danville, Kentucky</t>
  </si>
  <si>
    <t xml:space="preserve">https://www.ntsb.gov/investigations/AccidentReports/Reports/PIR22002.pdf</t>
  </si>
  <si>
    <t xml:space="preserve">Pipeline casualty, evacuation, and damage analog</t>
  </si>
  <si>
    <t xml:space="preserve">Pipeline targets</t>
  </si>
  <si>
    <t xml:space="preserve">S030</t>
  </si>
  <si>
    <t xml:space="preserve">Pipeline control/SCADA investigation information</t>
  </si>
  <si>
    <t xml:space="preserve">https://www.ntsb.gov/investigations/Pages/PLD24FR001.aspx</t>
  </si>
  <si>
    <t xml:space="preserve">Control-system decision and shutdown consequence evidence</t>
  </si>
  <si>
    <t xml:space="preserve">SU-02; pipeline targets</t>
  </si>
  <si>
    <t xml:space="preserve">S031</t>
  </si>
  <si>
    <t xml:space="preserve">Pipeline accident investigations and reports</t>
  </si>
  <si>
    <t xml:space="preserve">https://www.ntsb.gov/tda/family/Pages/tda-pipeline.aspx</t>
  </si>
  <si>
    <t xml:space="preserve">Pipeline restoration and physical consequence analogs</t>
  </si>
  <si>
    <t xml:space="preserve">S032</t>
  </si>
  <si>
    <t xml:space="preserve">FAA Daily Air Traffic Report</t>
  </si>
  <si>
    <t xml:space="preserve">https://www.faa.gov/newsroom/faa-daily-air-traffic-report</t>
  </si>
  <si>
    <t xml:space="preserve">Operational disruption and closure terminology</t>
  </si>
  <si>
    <t xml:space="preserve">S033</t>
  </si>
  <si>
    <t xml:space="preserve">Plans and Reports: Economic Impact Reports</t>
  </si>
  <si>
    <t xml:space="preserve">https://www.faa.gov/about/plans_reports</t>
  </si>
  <si>
    <t xml:space="preserve">Aviation economic impact methods</t>
  </si>
  <si>
    <t xml:space="preserve">S034</t>
  </si>
  <si>
    <t xml:space="preserve">Federal Highway Administration / BTS</t>
  </si>
  <si>
    <t xml:space="preserve">Freight Analysis Framework overview</t>
  </si>
  <si>
    <t xml:space="preserve">https://ops.fhwa.dot.gov/freight/freight_analysis/faf/</t>
  </si>
  <si>
    <t xml:space="preserve">Freight network and commodity-flow methodology</t>
  </si>
  <si>
    <t xml:space="preserve">TSSRA Open-Source AI Pilot - Executive Summary</t>
  </si>
  <si>
    <t xml:space="preserve">Metric</t>
  </si>
  <si>
    <t xml:space="preserve">Interpretation</t>
  </si>
  <si>
    <t xml:space="preserve">Outcome families modeled</t>
  </si>
  <si>
    <t xml:space="preserve">16 base families + 2 hijacking splits (passenger and cargo, aircraft-as-weapon)</t>
  </si>
  <si>
    <t xml:space="preserve">Complete</t>
  </si>
  <si>
    <t xml:space="preserve">Consequence target archetypes</t>
  </si>
  <si>
    <t xml:space="preserve">Pipeline segment, pump station, compressor station, airport terminal, freight rail</t>
  </si>
  <si>
    <t xml:space="preserve">Outage durations</t>
  </si>
  <si>
    <t xml:space="preserve">4 hours through 90 days</t>
  </si>
  <si>
    <t xml:space="preserve">CISA sectors represented</t>
  </si>
  <si>
    <t xml:space="preserve">Illustrative second-order allocation</t>
  </si>
  <si>
    <t xml:space="preserve">DOT VSL</t>
  </si>
  <si>
    <t xml:space="preserve">2025-dollar VSL used for casualty monetization</t>
  </si>
  <si>
    <t xml:space="preserve">Current public guidance</t>
  </si>
  <si>
    <t xml:space="preserve">Low-confidence outcome families</t>
  </si>
  <si>
    <t xml:space="preserve">Sparse or mechanistic evidence; requires expert review</t>
  </si>
  <si>
    <t xml:space="preserve">Review required</t>
  </si>
  <si>
    <t xml:space="preserve">Injury model</t>
  </si>
  <si>
    <t xml:space="preserve">Weapon-class bi-modal</t>
  </si>
  <si>
    <t xml:space="preserve">Replaces single averaged MAIS fraction (NISS/TRISS for blast)</t>
  </si>
  <si>
    <t xml:space="preserve">Overhauled</t>
  </si>
  <si>
    <t xml:space="preserve">Restoration model</t>
  </si>
  <si>
    <t xml:space="preserve">Eng + regulatory</t>
  </si>
  <si>
    <t xml:space="preserve">Adds CAO/site-control/pressure-restriction delay; extended to 90 days</t>
  </si>
  <si>
    <t xml:space="preserve">Outcome Scenario</t>
  </si>
  <si>
    <t xml:space="preserve">Best Direct Cost</t>
  </si>
  <si>
    <t xml:space="preserve">AV-01 All UAS against aviation</t>
  </si>
  <si>
    <t xml:space="preserve">AV-02 Aircraft assault on ground</t>
  </si>
  <si>
    <t xml:space="preserve">AV-03 Aircraft passenger assault with bladed weapons</t>
  </si>
  <si>
    <t xml:space="preserve">AV-04 Airport passenger assembly assault</t>
  </si>
  <si>
    <t xml:space="preserve">AV-05a Passenger hijacking - traditional</t>
  </si>
  <si>
    <t xml:space="preserve">AV-06a Cargo hijacking - traditional</t>
  </si>
  <si>
    <t xml:space="preserve">AV-07 Public charter hijacking</t>
  </si>
  <si>
    <t xml:space="preserve">AV-08 All IID on commercial passenger aircraft</t>
  </si>
  <si>
    <t xml:space="preserve">AV-09 All IID on cargo aircraft</t>
  </si>
  <si>
    <t xml:space="preserve">AV-10 All Chem/Bio on commercial passenger aircraft</t>
  </si>
  <si>
    <t xml:space="preserve">AV-11 All Chem/Bio at airport</t>
  </si>
  <si>
    <t xml:space="preserve">SU-01 Assault on surface passenger vessels/stations</t>
  </si>
  <si>
    <t xml:space="preserve">SU-02 Assault on Pipeline ICS center</t>
  </si>
  <si>
    <t xml:space="preserve">SU-03 Vehicle ramming</t>
  </si>
  <si>
    <t xml:space="preserve">SU-04 All UAS against surface transportation</t>
  </si>
  <si>
    <t xml:space="preserve">SU-05 Chem/Bio contamination of food transported by tanker truck</t>
  </si>
  <si>
    <t xml:space="preserve">AV-05b Passenger hijacking - aircraft as weapon (9/11-style)</t>
  </si>
  <si>
    <t xml:space="preserve">AV-06b Cargo hijacking - aircraft as weapon</t>
  </si>
  <si>
    <t xml:space="preserve">Aircraft-as-weapon scenarios (AV-05b, AV-06b) carry catastrophic P50 values that were previously masked when averaged into the lumped hijacking families. They are conditional consequences and are not probability-weighted.</t>
  </si>
  <si>
    <t xml:space="preserve">Dollar basis</t>
  </si>
  <si>
    <t xml:space="preserve">2026$ (property + 2nd-order via CPI-U +3.5%); VSL at official 2025 basis</t>
  </si>
  <si>
    <t xml:space="preserve">Cross-sector view</t>
  </si>
  <si>
    <t xml:space="preserve">See Cross-Sector Impacts sheet (separable from direct results)</t>
  </si>
  <si>
    <t xml:space="preserve">Important: These are conditional planning estimates, not forecasts of attack likelihood. Totals should not be summed across mutually exclusive scenarios. Replace generic assumptions with scenario- and asset-specific DHS inputs before formal use.</t>
  </si>
</sst>
</file>

<file path=xl/styles.xml><?xml version="1.0" encoding="utf-8"?>
<styleSheet xmlns="http://schemas.openxmlformats.org/spreadsheetml/2006/main">
  <numFmts count="8">
    <numFmt numFmtId="164" formatCode="General"/>
    <numFmt numFmtId="165" formatCode="\$#,##0"/>
    <numFmt numFmtId="166" formatCode="0.000"/>
    <numFmt numFmtId="167" formatCode="0.0%"/>
    <numFmt numFmtId="168" formatCode="0.000000"/>
    <numFmt numFmtId="169" formatCode="0"/>
    <numFmt numFmtId="170" formatCode="0.00"/>
    <numFmt numFmtId="171" formatCode="0%"/>
  </numFmts>
  <fonts count="15">
    <font>
      <sz val="10"/>
      <name val="Arial"/>
      <family val="2"/>
      <charset val="1"/>
    </font>
    <font>
      <sz val="10"/>
      <name val="Arial"/>
      <family val="0"/>
    </font>
    <font>
      <sz val="10"/>
      <name val="Arial"/>
      <family val="0"/>
    </font>
    <font>
      <sz val="10"/>
      <name val="Arial"/>
      <family val="0"/>
    </font>
    <font>
      <b val="true"/>
      <sz val="16"/>
      <color rgb="FFFFFFFF"/>
      <name val="Calibri"/>
      <family val="0"/>
      <charset val="1"/>
    </font>
    <font>
      <b val="true"/>
      <sz val="11"/>
      <name val="Calibri"/>
      <family val="0"/>
      <charset val="1"/>
    </font>
    <font>
      <sz val="11"/>
      <name val="Calibri"/>
      <family val="0"/>
      <charset val="1"/>
    </font>
    <font>
      <b val="true"/>
      <sz val="11"/>
      <color rgb="FFFFFFFF"/>
      <name val="Calibri"/>
      <family val="0"/>
      <charset val="1"/>
    </font>
    <font>
      <sz val="11"/>
      <color rgb="FF0000FF"/>
      <name val="Calibri"/>
      <family val="0"/>
      <charset val="1"/>
    </font>
    <font>
      <b val="true"/>
      <sz val="11"/>
      <color rgb="FFC00000"/>
      <name val="Calibri"/>
      <family val="0"/>
      <charset val="1"/>
    </font>
    <font>
      <b val="true"/>
      <sz val="11"/>
      <color rgb="FF006100"/>
      <name val="Calibri"/>
      <family val="0"/>
      <charset val="1"/>
    </font>
    <font>
      <sz val="11"/>
      <color rgb="FF808080"/>
      <name val="Calibri"/>
      <family val="0"/>
      <charset val="1"/>
    </font>
    <font>
      <b val="true"/>
      <sz val="14"/>
      <name val="Calibri"/>
      <family val="0"/>
      <charset val="1"/>
    </font>
    <font>
      <b val="true"/>
      <sz val="18"/>
      <color rgb="FF000000"/>
      <name val="Calibri"/>
      <family val="2"/>
    </font>
    <font>
      <sz val="10"/>
      <color rgb="FF000000"/>
      <name val="Calibri"/>
      <family val="2"/>
    </font>
  </fonts>
  <fills count="8">
    <fill>
      <patternFill patternType="none"/>
    </fill>
    <fill>
      <patternFill patternType="gray125"/>
    </fill>
    <fill>
      <patternFill patternType="solid">
        <fgColor rgb="FF17365D"/>
        <bgColor rgb="FF1F3864"/>
      </patternFill>
    </fill>
    <fill>
      <patternFill patternType="solid">
        <fgColor rgb="FFD9EAF7"/>
        <bgColor rgb="FFD9E1F2"/>
      </patternFill>
    </fill>
    <fill>
      <patternFill patternType="solid">
        <fgColor rgb="FFFFF2CC"/>
        <bgColor rgb="FFFCE4D6"/>
      </patternFill>
    </fill>
    <fill>
      <patternFill patternType="solid">
        <fgColor rgb="FF2F75B5"/>
        <bgColor rgb="FF156082"/>
      </patternFill>
    </fill>
    <fill>
      <patternFill patternType="solid">
        <fgColor rgb="FF1F3864"/>
        <bgColor rgb="FF17365D"/>
      </patternFill>
    </fill>
    <fill>
      <patternFill patternType="solid">
        <fgColor rgb="FFD9E1F2"/>
        <bgColor rgb="FFD9EA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5" fillId="3"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5" fillId="4" borderId="0"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7" fillId="5"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5" fontId="6" fillId="0" borderId="0" xfId="0" applyFont="true" applyBorder="false" applyAlignment="true" applyProtection="true">
      <alignment horizontal="general" vertical="bottom" textRotation="0" wrapText="tru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7"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general" vertical="center"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70" fontId="8"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true" indent="0" shrinkToFit="false"/>
      <protection locked="true" hidden="false"/>
    </xf>
    <xf numFmtId="170" fontId="8" fillId="3" borderId="0" xfId="0" applyFont="true" applyBorder="false" applyAlignment="true" applyProtection="true">
      <alignment horizontal="general" vertical="bottom" textRotation="0" wrapText="true" indent="0" shrinkToFit="false"/>
      <protection locked="true" hidden="false"/>
    </xf>
    <xf numFmtId="169" fontId="8" fillId="3" borderId="0" xfId="0" applyFont="true" applyBorder="false" applyAlignment="true" applyProtection="true">
      <alignment horizontal="general" vertical="bottom" textRotation="0" wrapText="true" indent="0" shrinkToFit="false"/>
      <protection locked="true" hidden="false"/>
    </xf>
    <xf numFmtId="170" fontId="6" fillId="0" borderId="0" xfId="0" applyFont="true" applyBorder="false" applyAlignment="true" applyProtection="true">
      <alignment horizontal="general" vertical="bottom" textRotation="0" wrapText="tru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left" vertical="center" textRotation="0" wrapText="false" indent="0" shrinkToFit="false"/>
      <protection locked="true" hidden="false"/>
    </xf>
    <xf numFmtId="171" fontId="6" fillId="0" borderId="0" xfId="0" applyFont="true" applyBorder="false" applyAlignment="true" applyProtection="true">
      <alignment horizontal="general" vertical="bottom" textRotation="0" wrapText="true" indent="0" shrinkToFit="false"/>
      <protection locked="true" hidden="false"/>
    </xf>
    <xf numFmtId="171" fontId="6"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5" fontId="5" fillId="7"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center" vertical="center" textRotation="0" wrapText="true" indent="0" shrinkToFit="false"/>
      <protection locked="true" hidden="false"/>
    </xf>
    <xf numFmtId="164" fontId="7" fillId="5" borderId="0" xfId="0" applyFont="true" applyBorder="false" applyAlignment="true" applyProtection="true">
      <alignment horizontal="general" vertical="top" textRotation="0" wrapText="tru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F75B5"/>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CE4D6"/>
          <bgColor rgb="FF000000"/>
        </patternFill>
      </fill>
    </dxf>
    <dxf>
      <fill>
        <patternFill patternType="solid">
          <fgColor rgb="FFFFF2CC"/>
          <bgColor rgb="FF000000"/>
        </patternFill>
      </fill>
    </dxf>
    <dxf>
      <fill>
        <patternFill>
          <bgColor rgb="FFFCE4D6"/>
        </patternFill>
      </fill>
    </dxf>
    <dxf>
      <fill>
        <patternFill>
          <bgColor rgb="FFFFF2CC"/>
        </patternFill>
      </fill>
    </dxf>
    <dxf>
      <fill>
        <patternFill>
          <bgColor rgb="FFE2F0D9"/>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156082"/>
      <rgbColor rgb="FFCCCCCC"/>
      <rgbColor rgb="FF808080"/>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2F0D9"/>
      <rgbColor rgb="FFFFFF99"/>
      <rgbColor rgb="FF99CCFF"/>
      <rgbColor rgb="FFFF99CC"/>
      <rgbColor rgb="FFCC99FF"/>
      <rgbColor rgb="FFFCE4D6"/>
      <rgbColor rgb="FF2F75B5"/>
      <rgbColor rgb="FF33CCCC"/>
      <rgbColor rgb="FF99CC00"/>
      <rgbColor rgb="FFFFCC00"/>
      <rgbColor rgb="FFFF9900"/>
      <rgbColor rgb="FFFF6600"/>
      <rgbColor rgb="FF666699"/>
      <rgbColor rgb="FF8B8B8B"/>
      <rgbColor rgb="FF17365D"/>
      <rgbColor rgb="FF339966"/>
      <rgbColor rgb="FF003300"/>
      <rgbColor rgb="FF333300"/>
      <rgbColor rgb="FF993300"/>
      <rgbColor rgb="FF993366"/>
      <rgbColor rgb="FF33339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Best (P50) Direct Outcome Cost by Scenario</a:t>
            </a:r>
          </a:p>
        </c:rich>
      </c:tx>
      <c:overlay val="0"/>
      <c:spPr>
        <a:noFill/>
        <a:ln w="0">
          <a:noFill/>
        </a:ln>
      </c:spPr>
    </c:title>
    <c:autoTitleDeleted val="0"/>
    <c:plotArea>
      <c:barChart>
        <c:barDir val="col"/>
        <c:grouping val="clustered"/>
        <c:varyColors val="0"/>
        <c:ser>
          <c:idx val="0"/>
          <c:order val="0"/>
          <c:tx>
            <c:strRef>
              <c:f>"Best Direct Cost"</c:f>
              <c:strCache>
                <c:ptCount val="1"/>
                <c:pt idx="0">
                  <c:v>Best Direct Cost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'Executive Summary'!$A$13:$A$28</c:f>
              <c:strCache>
                <c:ptCount val="16"/>
                <c:pt idx="0">
                  <c:v>AV-01 All UAS against aviation</c:v>
                </c:pt>
                <c:pt idx="1">
                  <c:v>AV-02 Aircraft assault on ground</c:v>
                </c:pt>
                <c:pt idx="2">
                  <c:v>AV-03 Aircraft passenger assault with bladed weapons</c:v>
                </c:pt>
                <c:pt idx="3">
                  <c:v>AV-04 Airport passenger assembly assault</c:v>
                </c:pt>
                <c:pt idx="4">
                  <c:v>AV-05a Passenger hijacking - traditional</c:v>
                </c:pt>
                <c:pt idx="5">
                  <c:v>AV-06a Cargo hijacking - traditional</c:v>
                </c:pt>
                <c:pt idx="6">
                  <c:v>AV-07 Public charter hijacking</c:v>
                </c:pt>
                <c:pt idx="7">
                  <c:v>AV-08 All IID on commercial passenger aircraft</c:v>
                </c:pt>
                <c:pt idx="8">
                  <c:v>AV-09 All IID on cargo aircraft</c:v>
                </c:pt>
                <c:pt idx="9">
                  <c:v>AV-10 All Chem/Bio on commercial passenger aircraft</c:v>
                </c:pt>
                <c:pt idx="10">
                  <c:v>AV-11 All Chem/Bio at airport</c:v>
                </c:pt>
                <c:pt idx="11">
                  <c:v>SU-01 Assault on surface passenger vessels/stations</c:v>
                </c:pt>
                <c:pt idx="12">
                  <c:v>SU-02 Assault on Pipeline ICS center</c:v>
                </c:pt>
                <c:pt idx="13">
                  <c:v>SU-03 Vehicle ramming</c:v>
                </c:pt>
                <c:pt idx="14">
                  <c:v>SU-04 All UAS against surface transportation</c:v>
                </c:pt>
                <c:pt idx="15">
                  <c:v>SU-05 Chem/Bio contamination of food transported by tanker truck</c:v>
                </c:pt>
              </c:strCache>
            </c:strRef>
          </c:cat>
          <c:val>
            <c:numRef>
              <c:f>'Executive Summary'!$B$13:$B$28</c:f>
              <c:numCache>
                <c:formatCode>\$#,##0</c:formatCode>
                <c:ptCount val="16"/>
                <c:pt idx="0">
                  <c:v>58830220</c:v>
                </c:pt>
                <c:pt idx="1">
                  <c:v>170627150</c:v>
                </c:pt>
                <c:pt idx="2">
                  <c:v>40542188</c:v>
                </c:pt>
                <c:pt idx="3">
                  <c:v>212563870</c:v>
                </c:pt>
                <c:pt idx="4">
                  <c:v>70896290</c:v>
                </c:pt>
                <c:pt idx="5">
                  <c:v>45887344</c:v>
                </c:pt>
                <c:pt idx="6">
                  <c:v>209377150</c:v>
                </c:pt>
                <c:pt idx="7">
                  <c:v>230888920</c:v>
                </c:pt>
                <c:pt idx="8">
                  <c:v>82907784</c:v>
                </c:pt>
                <c:pt idx="9">
                  <c:v>267952200</c:v>
                </c:pt>
                <c:pt idx="10">
                  <c:v>803856600</c:v>
                </c:pt>
                <c:pt idx="11">
                  <c:v>219829300</c:v>
                </c:pt>
                <c:pt idx="12">
                  <c:v>48105860</c:v>
                </c:pt>
                <c:pt idx="13">
                  <c:v>136493060</c:v>
                </c:pt>
                <c:pt idx="14">
                  <c:v>79281960</c:v>
                </c:pt>
                <c:pt idx="15">
                  <c:v>624030500</c:v>
                </c:pt>
              </c:numCache>
            </c:numRef>
          </c:val>
        </c:ser>
        <c:gapWidth val="150"/>
        <c:overlap val="0"/>
        <c:axId val="70701903"/>
        <c:axId val="95359128"/>
      </c:barChart>
      <c:catAx>
        <c:axId val="7070190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5359128"/>
        <c:crosses val="autoZero"/>
        <c:auto val="1"/>
        <c:lblAlgn val="ctr"/>
        <c:lblOffset val="100"/>
        <c:noMultiLvlLbl val="0"/>
      </c:catAx>
      <c:valAx>
        <c:axId val="9535912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070190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Best Total Consequence - 3 Day Outage</a:t>
            </a:r>
          </a:p>
        </c:rich>
      </c:tx>
      <c:overlay val="0"/>
      <c:spPr>
        <a:noFill/>
        <a:ln w="0">
          <a:noFill/>
        </a:ln>
      </c:spPr>
    </c:title>
    <c:autoTitleDeleted val="0"/>
    <c:plotArea>
      <c:barChart>
        <c:barDir val="col"/>
        <c:grouping val="clustered"/>
        <c:varyColors val="0"/>
        <c:ser>
          <c:idx val="0"/>
          <c:order val="0"/>
          <c:tx>
            <c:strRef>
              <c:f>"Best Total Consequence"</c:f>
              <c:strCache>
                <c:ptCount val="1"/>
                <c:pt idx="0">
                  <c:v>Best Total Consequence</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'Executive Summary'!$A$33:$A$37</c:f>
              <c:strCache>
                <c:ptCount val="5"/>
                <c:pt idx="0">
                  <c:v>Pipeline Segment</c:v>
                </c:pt>
                <c:pt idx="1">
                  <c:v>Dollar basis</c:v>
                </c:pt>
                <c:pt idx="2">
                  <c:v>Cross-sector view</c:v>
                </c:pt>
                <c:pt idx="3">
                  <c:v>Airport Terminal</c:v>
                </c:pt>
                <c:pt idx="4">
                  <c:v>Freight Rail</c:v>
                </c:pt>
              </c:strCache>
            </c:strRef>
          </c:cat>
          <c:val>
            <c:numRef>
              <c:f>'Executive Summary'!$B$33:$B$37</c:f>
              <c:numCache>
                <c:formatCode>\$#,##0</c:formatCode>
                <c:ptCount val="5"/>
                <c:pt idx="0">
                  <c:v>126425000</c:v>
                </c:pt>
                <c:pt idx="3">
                  <c:v>462540000</c:v>
                </c:pt>
                <c:pt idx="4">
                  <c:v>96470000</c:v>
                </c:pt>
              </c:numCache>
            </c:numRef>
          </c:val>
        </c:ser>
        <c:gapWidth val="150"/>
        <c:overlap val="0"/>
        <c:axId val="71116885"/>
        <c:axId val="96481201"/>
      </c:barChart>
      <c:catAx>
        <c:axId val="7111688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6481201"/>
        <c:crosses val="autoZero"/>
        <c:auto val="1"/>
        <c:lblAlgn val="ctr"/>
        <c:lblOffset val="100"/>
        <c:noMultiLvlLbl val="0"/>
      </c:catAx>
      <c:valAx>
        <c:axId val="96481201"/>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11168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0</xdr:rowOff>
    </xdr:from>
    <xdr:to>
      <xdr:col>13</xdr:col>
      <xdr:colOff>606240</xdr:colOff>
      <xdr:row>16</xdr:row>
      <xdr:rowOff>248400</xdr:rowOff>
    </xdr:to>
    <xdr:graphicFrame>
      <xdr:nvGraphicFramePr>
        <xdr:cNvPr id="0" name="Chart 1"/>
        <xdr:cNvGraphicFramePr/>
      </xdr:nvGraphicFramePr>
      <xdr:xfrm>
        <a:off x="10127160" y="542880"/>
        <a:ext cx="5498280" cy="3401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17</xdr:row>
      <xdr:rowOff>83880</xdr:rowOff>
    </xdr:from>
    <xdr:to>
      <xdr:col>13</xdr:col>
      <xdr:colOff>606240</xdr:colOff>
      <xdr:row>29</xdr:row>
      <xdr:rowOff>14040</xdr:rowOff>
    </xdr:to>
    <xdr:graphicFrame>
      <xdr:nvGraphicFramePr>
        <xdr:cNvPr id="1" name="Chart 2"/>
        <xdr:cNvGraphicFramePr/>
      </xdr:nvGraphicFramePr>
      <xdr:xfrm>
        <a:off x="10127160" y="4132080"/>
        <a:ext cx="5498280" cy="3187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ConsequenceTable" displayName="ConsequenceTable" ref="A3:AF38" headerRowCount="1" totalsRowCount="0" totalsRowShown="0">
  <tableColumns count="32">
    <tableColumn id="1" name="Target"/>
    <tableColumn id="2" name="Outage"/>
    <tableColumn id="3" name="Hours"/>
    <tableColumn id="4" name="Days"/>
    <tableColumn id="5" name="Escalation Factor"/>
    <tableColumn id="6" name="Confidence"/>
    <tableColumn id="7" name="Low Deaths"/>
    <tableColumn id="8" name="Low Injuries"/>
    <tableColumn id="9" name="Low Injury Fraction"/>
    <tableColumn id="10" name="Low Infrastructure Damage"/>
    <tableColumn id="11" name="Low Daily Indirect"/>
    <tableColumn id="12" name="Low First Order"/>
    <tableColumn id="13" name="Low Second Order"/>
    <tableColumn id="14" name="Low Total"/>
    <tableColumn id="15" name="Best Deaths"/>
    <tableColumn id="16" name="Best Injuries"/>
    <tableColumn id="17" name="Best Injury Fraction"/>
    <tableColumn id="18" name="Best Infrastructure Damage"/>
    <tableColumn id="19" name="Best Daily Indirect"/>
    <tableColumn id="20" name="Best First Order"/>
    <tableColumn id="21" name="Best Second Order"/>
    <tableColumn id="22" name="Best Total"/>
    <tableColumn id="23" name="High Deaths"/>
    <tableColumn id="24" name="High Injuries"/>
    <tableColumn id="25" name="High Injury Fraction"/>
    <tableColumn id="26" name="High Infrastructure Damage"/>
    <tableColumn id="27" name="High Daily Indirect"/>
    <tableColumn id="28" name="High First Order"/>
    <tableColumn id="29" name="High Second Order"/>
    <tableColumn id="30" name="High Total"/>
    <tableColumn id="31" name="Source IDs"/>
    <tableColumn id="32" name="Assumptions"/>
  </tableColumns>
</table>
</file>

<file path=xl/tables/table2.xml><?xml version="1.0" encoding="utf-8"?>
<table xmlns="http://schemas.openxmlformats.org/spreadsheetml/2006/main" id="2" name="CrossSectorTable" displayName="CrossSectorTable" ref="A3:G83" headerRowCount="1" totalsRowCount="0" totalsRowShown="0">
  <tableColumns count="7">
    <tableColumn id="1" name="Target"/>
    <tableColumn id="2" name="CISA Sector"/>
    <tableColumn id="3" name="Share of Second-Order Loss"/>
    <tableColumn id="4" name="Dependency Rationale"/>
    <tableColumn id="5" name="Evidence Status"/>
    <tableColumn id="6" name="Source IDs"/>
    <tableColumn id="7" name="Validation Note"/>
  </tableColumns>
</table>
</file>

<file path=xl/tables/table3.xml><?xml version="1.0" encoding="utf-8"?>
<table xmlns="http://schemas.openxmlformats.org/spreadsheetml/2006/main" id="3" name="OutcomeScenarioTable" displayName="OutcomeScenarioTable" ref="A3:AA19" headerRowCount="1" totalsRowCount="0" totalsRowShown="0">
  <tableColumns count="27">
    <tableColumn id="1" name="ID"/>
    <tableColumn id="2" name="Mode"/>
    <tableColumn id="3" name="Scenario"/>
    <tableColumn id="4" name="Evidence Class"/>
    <tableColumn id="5" name="Confidence"/>
    <tableColumn id="6" name="Primary Evidence / Analogs"/>
    <tableColumn id="7" name="Low Fatalities"/>
    <tableColumn id="8" name="Low Injuries"/>
    <tableColumn id="9" name="Low Injury VSL Fraction"/>
    <tableColumn id="10" name="Low Property Damage (2026$)"/>
    <tableColumn id="11" name="Low Casualty Value"/>
    <tableColumn id="12" name="Low Total Direct"/>
    <tableColumn id="13" name="Best Fatalities"/>
    <tableColumn id="14" name="Best Injuries"/>
    <tableColumn id="15" name="Best Injury VSL Fraction"/>
    <tableColumn id="16" name="Best Property Damage (2026$)"/>
    <tableColumn id="17" name="Best Casualty Value"/>
    <tableColumn id="18" name="Best Total Direct"/>
    <tableColumn id="19" name="High Fatalities"/>
    <tableColumn id="20" name="High Injuries"/>
    <tableColumn id="21" name="High Injury VSL Fraction"/>
    <tableColumn id="22" name="High Property Damage (2026$)"/>
    <tableColumn id="23" name="High Casualty Value"/>
    <tableColumn id="24" name="High Total Direct"/>
    <tableColumn id="25" name="Source IDs"/>
    <tableColumn id="26" name="Key Assumptions"/>
    <tableColumn id="27" name="Limitations"/>
  </tableColumns>
</table>
</file>

<file path=xl/tables/table4.xml><?xml version="1.0" encoding="utf-8"?>
<table xmlns="http://schemas.openxmlformats.org/spreadsheetml/2006/main" id="4" name="SourceCatalogTable" displayName="SourceCatalogTable" ref="A3:F37" headerRowCount="1" totalsRowCount="0" totalsRowShown="0">
  <tableColumns count="6">
    <tableColumn id="1" name="Source ID"/>
    <tableColumn id="2" name="Agency / Organization"/>
    <tableColumn id="3" name="Title"/>
    <tableColumn id="4" name="URL"/>
    <tableColumn id="5" name="Analytic Role"/>
    <tableColumn id="6" name="Applied To"/>
  </tableColumns>
</table>
</file>

<file path=xl/tables/table5.xml><?xml version="1.0" encoding="utf-8"?>
<table xmlns="http://schemas.openxmlformats.org/spreadsheetml/2006/main" id="5" name="TargetInputTable" displayName="TargetInputTable" ref="A3:W8" headerRowCount="1" totalsRowCount="0" totalsRowShown="0">
  <tableColumns count="23">
    <tableColumn id="1" name="Target"/>
    <tableColumn id="2" name="Scope"/>
    <tableColumn id="3" name="Minimum Material Outage (h)"/>
    <tableColumn id="4" name="P50 Restoration (h)"/>
    <tableColumn id="5" name="P90 Restoration (h)"/>
    <tableColumn id="6" name="Confidence"/>
    <tableColumn id="7" name="Low Deaths"/>
    <tableColumn id="8" name="Low Injuries"/>
    <tableColumn id="9" name="Low Injury Fraction"/>
    <tableColumn id="10" name="Low Infrastructure Damage"/>
    <tableColumn id="11" name="Low Daily Indirect Loss"/>
    <tableColumn id="12" name="Best Deaths"/>
    <tableColumn id="13" name="Best Injuries"/>
    <tableColumn id="14" name="Best Injury Fraction"/>
    <tableColumn id="15" name="Best Infrastructure Damage"/>
    <tableColumn id="16" name="Best Daily Indirect Loss"/>
    <tableColumn id="17" name="High Deaths"/>
    <tableColumn id="18" name="High Injuries"/>
    <tableColumn id="19" name="High Injury Fraction"/>
    <tableColumn id="20" name="High Infrastructure Damage"/>
    <tableColumn id="21" name="High Daily Indirect Loss"/>
    <tableColumn id="22" name="Source IDs"/>
    <tableColumn id="23" name="Assumption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_rels/sheet8.xml.rels><?xml version="1.0" encoding="UTF-8"?>
<Relationships xmlns="http://schemas.openxmlformats.org/package/2006/relationships"><Relationship Id="rId1" Type="http://schemas.openxmlformats.org/officeDocument/2006/relationships/table" Target="../tables/table2.xml"/>
</Relationships>
</file>

<file path=xl/worksheets/_rels/sheet10.xml.rels><?xml version="1.0" encoding="UTF-8"?>
<Relationships xmlns="http://schemas.openxmlformats.org/package/2006/relationships"><Relationship Id="rId1"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95"/>
  </cols>
  <sheetData>
    <row r="1" customFormat="false" ht="27.75" hidden="false" customHeight="true" outlineLevel="0" collapsed="false">
      <c r="A1" s="2" t="s">
        <v>0</v>
      </c>
      <c r="B1" s="2"/>
      <c r="C1" s="2"/>
      <c r="D1" s="2"/>
      <c r="E1" s="2"/>
      <c r="F1" s="2"/>
      <c r="G1" s="2"/>
      <c r="H1" s="2"/>
    </row>
    <row r="3" customFormat="false" ht="27.75" hidden="false" customHeight="true" outlineLevel="0" collapsed="false">
      <c r="A3" s="3" t="s">
        <v>1</v>
      </c>
      <c r="B3" s="4" t="s">
        <v>2</v>
      </c>
    </row>
    <row r="4" customFormat="false" ht="27.75" hidden="false" customHeight="true" outlineLevel="0" collapsed="false">
      <c r="A4" s="3" t="s">
        <v>3</v>
      </c>
      <c r="B4" s="4" t="s">
        <v>4</v>
      </c>
    </row>
    <row r="5" customFormat="false" ht="27.75" hidden="false" customHeight="true" outlineLevel="0" collapsed="false">
      <c r="A5" s="3" t="s">
        <v>5</v>
      </c>
      <c r="B5" s="4" t="s">
        <v>6</v>
      </c>
    </row>
    <row r="6" customFormat="false" ht="27.7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9" customFormat="false" ht="27.75" hidden="false" customHeight="true" outlineLevel="0" collapsed="false">
      <c r="A9" s="3" t="s">
        <v>13</v>
      </c>
      <c r="B9" s="4" t="s">
        <v>14</v>
      </c>
    </row>
    <row r="10" customFormat="false" ht="27.75" hidden="false" customHeight="true" outlineLevel="0" collapsed="false">
      <c r="A10" s="3" t="s">
        <v>15</v>
      </c>
      <c r="B10" s="4" t="s">
        <v>16</v>
      </c>
    </row>
    <row r="11" customFormat="false" ht="27.75" hidden="false" customHeight="true" outlineLevel="0" collapsed="false">
      <c r="A11" s="3" t="s">
        <v>17</v>
      </c>
      <c r="B11" s="4" t="s">
        <v>18</v>
      </c>
    </row>
    <row r="12" customFormat="false" ht="27.75" hidden="false" customHeight="true" outlineLevel="0" collapsed="false">
      <c r="A12" s="3" t="s">
        <v>19</v>
      </c>
      <c r="B12" s="4" t="s">
        <v>20</v>
      </c>
    </row>
    <row r="13" customFormat="false" ht="15" hidden="false" customHeight="true" outlineLevel="0" collapsed="false">
      <c r="A13" s="3" t="s">
        <v>21</v>
      </c>
      <c r="B13" s="4" t="s">
        <v>22</v>
      </c>
    </row>
    <row r="15" customFormat="false" ht="15" hidden="false" customHeight="true" outlineLevel="0" collapsed="false">
      <c r="A15" s="5" t="s">
        <v>23</v>
      </c>
      <c r="B15" s="5"/>
      <c r="C15" s="5"/>
      <c r="D15" s="5"/>
      <c r="E15" s="5"/>
      <c r="F15" s="5"/>
      <c r="G15" s="5"/>
      <c r="H15" s="5"/>
    </row>
    <row r="16" customFormat="false" ht="45.75" hidden="false" customHeight="true" outlineLevel="0" collapsed="false">
      <c r="A16" s="6" t="s">
        <v>24</v>
      </c>
      <c r="B16" s="7" t="s">
        <v>25</v>
      </c>
    </row>
    <row r="17" customFormat="false" ht="57" hidden="false" customHeight="true" outlineLevel="0" collapsed="false">
      <c r="A17" s="6" t="s">
        <v>26</v>
      </c>
      <c r="B17" s="7" t="s">
        <v>27</v>
      </c>
    </row>
    <row r="18" customFormat="false" ht="68.25" hidden="false" customHeight="true" outlineLevel="0" collapsed="false">
      <c r="A18" s="6" t="s">
        <v>28</v>
      </c>
      <c r="B18" s="7" t="s">
        <v>29</v>
      </c>
    </row>
    <row r="19" customFormat="false" ht="34.5" hidden="false" customHeight="true" outlineLevel="0" collapsed="false">
      <c r="A19" s="6" t="s">
        <v>30</v>
      </c>
      <c r="B19" s="7" t="s">
        <v>31</v>
      </c>
    </row>
    <row r="20" customFormat="false" ht="45.75" hidden="false" customHeight="true" outlineLevel="0" collapsed="false">
      <c r="A20" s="6" t="s">
        <v>32</v>
      </c>
      <c r="B20" s="7" t="s">
        <v>33</v>
      </c>
    </row>
    <row r="21" customFormat="false" ht="34.5" hidden="false" customHeight="true" outlineLevel="0" collapsed="false">
      <c r="A21" s="6" t="s">
        <v>34</v>
      </c>
      <c r="B21" s="7" t="s">
        <v>35</v>
      </c>
    </row>
    <row r="22" customFormat="false" ht="46.25" hidden="false" customHeight="false" outlineLevel="0" collapsed="false">
      <c r="A22" s="6" t="s">
        <v>36</v>
      </c>
      <c r="B22" s="7" t="s">
        <v>37</v>
      </c>
    </row>
    <row r="23" customFormat="false" ht="35.05" hidden="false" customHeight="false" outlineLevel="0" collapsed="false">
      <c r="A23" s="6" t="s">
        <v>38</v>
      </c>
      <c r="B23" s="7" t="s">
        <v>39</v>
      </c>
    </row>
  </sheetData>
  <mergeCells count="2">
    <mergeCell ref="A1:H1"/>
    <mergeCell ref="A15:H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20"/>
    <col collapsed="false" customWidth="true" hidden="false" outlineLevel="0" max="7" min="4" style="1" width="18"/>
    <col collapsed="false" customWidth="true" hidden="false" outlineLevel="0" max="10" min="10" style="1" width="26"/>
    <col collapsed="false" customWidth="true" hidden="false" outlineLevel="0" max="11" min="11" style="1" width="30"/>
  </cols>
  <sheetData>
    <row r="1" customFormat="false" ht="27.75" hidden="false" customHeight="true" outlineLevel="0" collapsed="false">
      <c r="A1" s="2" t="s">
        <v>40</v>
      </c>
      <c r="B1" s="2"/>
      <c r="C1" s="2"/>
      <c r="D1" s="2"/>
      <c r="E1" s="2"/>
      <c r="F1" s="2"/>
    </row>
    <row r="3" customFormat="false" ht="15" hidden="false" customHeight="true" outlineLevel="0" collapsed="false">
      <c r="A3" s="8" t="s">
        <v>41</v>
      </c>
      <c r="B3" s="8" t="s">
        <v>42</v>
      </c>
      <c r="C3" s="4"/>
      <c r="D3" s="4"/>
      <c r="E3" s="4"/>
      <c r="F3" s="4"/>
      <c r="J3" s="9" t="s">
        <v>43</v>
      </c>
    </row>
    <row r="4" customFormat="false" ht="15" hidden="false" customHeight="true" outlineLevel="0" collapsed="false">
      <c r="A4" s="4" t="s">
        <v>44</v>
      </c>
      <c r="B4" s="10" t="n">
        <v>14200000</v>
      </c>
      <c r="C4" s="4"/>
      <c r="D4" s="4"/>
      <c r="E4" s="4"/>
      <c r="F4" s="4"/>
      <c r="J4" s="1" t="s">
        <v>45</v>
      </c>
      <c r="K4" s="1" t="n">
        <v>2025</v>
      </c>
    </row>
    <row r="5" customFormat="false" ht="15" hidden="false" customHeight="true" outlineLevel="0" collapsed="false">
      <c r="A5" s="4" t="s">
        <v>46</v>
      </c>
      <c r="B5" s="4" t="n">
        <v>2025</v>
      </c>
      <c r="C5" s="4"/>
      <c r="D5" s="4"/>
      <c r="E5" s="4"/>
      <c r="F5" s="4"/>
      <c r="J5" s="1" t="s">
        <v>47</v>
      </c>
      <c r="K5" s="1" t="n">
        <v>2026</v>
      </c>
    </row>
    <row r="6" customFormat="false" ht="95.25" hidden="false" customHeight="true" outlineLevel="0" collapsed="false">
      <c r="A6" s="4" t="s">
        <v>48</v>
      </c>
      <c r="B6" s="4" t="s">
        <v>49</v>
      </c>
      <c r="C6" s="4"/>
      <c r="D6" s="4"/>
      <c r="E6" s="4"/>
      <c r="F6" s="4"/>
      <c r="J6" s="1" t="s">
        <v>50</v>
      </c>
      <c r="K6" s="11" t="n">
        <v>1.035</v>
      </c>
    </row>
    <row r="7" customFormat="false" ht="15" hidden="false" customHeight="true" outlineLevel="0" collapsed="false">
      <c r="A7" s="4"/>
      <c r="B7" s="4"/>
      <c r="C7" s="4"/>
      <c r="D7" s="4"/>
      <c r="E7" s="4"/>
      <c r="F7" s="4"/>
      <c r="J7" s="1" t="s">
        <v>51</v>
      </c>
      <c r="K7" s="7" t="s">
        <v>52</v>
      </c>
    </row>
    <row r="8" customFormat="false" ht="15" hidden="false" customHeight="true" outlineLevel="0" collapsed="false">
      <c r="A8" s="8" t="s">
        <v>53</v>
      </c>
      <c r="B8" s="8" t="s">
        <v>54</v>
      </c>
      <c r="C8" s="8" t="s">
        <v>55</v>
      </c>
      <c r="D8" s="8" t="s">
        <v>56</v>
      </c>
      <c r="E8" s="4"/>
      <c r="F8" s="12" t="s">
        <v>57</v>
      </c>
      <c r="J8" s="1" t="s">
        <v>58</v>
      </c>
      <c r="K8" s="7" t="s">
        <v>59</v>
      </c>
    </row>
    <row r="9" customFormat="false" ht="404.25" hidden="false" customHeight="true" outlineLevel="0" collapsed="false">
      <c r="A9" s="4" t="s">
        <v>60</v>
      </c>
      <c r="B9" s="4" t="s">
        <v>61</v>
      </c>
      <c r="C9" s="13" t="n">
        <v>0.003</v>
      </c>
      <c r="D9" s="10" t="n">
        <v>42600</v>
      </c>
      <c r="E9" s="4"/>
      <c r="F9" s="14" t="s">
        <v>62</v>
      </c>
      <c r="J9" s="1" t="s">
        <v>63</v>
      </c>
      <c r="K9" s="7" t="s">
        <v>64</v>
      </c>
    </row>
    <row r="10" customFormat="false" ht="15" hidden="false" customHeight="true" outlineLevel="0" collapsed="false">
      <c r="A10" s="4" t="s">
        <v>65</v>
      </c>
      <c r="B10" s="4" t="s">
        <v>66</v>
      </c>
      <c r="C10" s="13" t="n">
        <v>0.047</v>
      </c>
      <c r="D10" s="10" t="n">
        <v>667400</v>
      </c>
      <c r="E10" s="4"/>
      <c r="F10" s="4"/>
    </row>
    <row r="11" customFormat="false" ht="15" hidden="false" customHeight="true" outlineLevel="0" collapsed="false">
      <c r="A11" s="4" t="s">
        <v>67</v>
      </c>
      <c r="B11" s="4" t="s">
        <v>68</v>
      </c>
      <c r="C11" s="13" t="n">
        <v>0.105</v>
      </c>
      <c r="D11" s="10" t="n">
        <v>1491000</v>
      </c>
      <c r="E11" s="4"/>
      <c r="F11" s="4"/>
      <c r="J11" s="1" t="s">
        <v>69</v>
      </c>
      <c r="K11" s="1" t="s">
        <v>70</v>
      </c>
    </row>
    <row r="12" customFormat="false" ht="15" hidden="false" customHeight="true" outlineLevel="0" collapsed="false">
      <c r="A12" s="4" t="s">
        <v>71</v>
      </c>
      <c r="B12" s="4" t="s">
        <v>72</v>
      </c>
      <c r="C12" s="13" t="n">
        <v>0.266</v>
      </c>
      <c r="D12" s="10" t="n">
        <v>3777200</v>
      </c>
      <c r="E12" s="4"/>
      <c r="F12" s="4"/>
    </row>
    <row r="13" customFormat="false" ht="15" hidden="false" customHeight="true" outlineLevel="0" collapsed="false">
      <c r="A13" s="4" t="s">
        <v>73</v>
      </c>
      <c r="B13" s="4" t="s">
        <v>74</v>
      </c>
      <c r="C13" s="13" t="n">
        <v>0.593</v>
      </c>
      <c r="D13" s="10" t="n">
        <v>8420600</v>
      </c>
      <c r="E13" s="4"/>
      <c r="F13" s="4"/>
    </row>
    <row r="14" customFormat="false" ht="15" hidden="false" customHeight="true" outlineLevel="0" collapsed="false">
      <c r="A14" s="4" t="s">
        <v>75</v>
      </c>
      <c r="B14" s="4" t="s">
        <v>76</v>
      </c>
      <c r="C14" s="13" t="n">
        <v>1</v>
      </c>
      <c r="D14" s="10" t="n">
        <v>14200000</v>
      </c>
      <c r="E14" s="4"/>
      <c r="F14" s="4"/>
    </row>
    <row r="15" customFormat="false" ht="15" hidden="false" customHeight="true" outlineLevel="0" collapsed="false">
      <c r="A15" s="4"/>
      <c r="B15" s="4"/>
      <c r="C15" s="4"/>
      <c r="D15" s="4"/>
      <c r="E15" s="4"/>
      <c r="F15" s="4"/>
    </row>
    <row r="16" customFormat="false" ht="15" hidden="false" customHeight="true" outlineLevel="0" collapsed="false">
      <c r="A16" s="4"/>
      <c r="B16" s="4"/>
      <c r="C16" s="4"/>
      <c r="D16" s="4"/>
      <c r="E16" s="4"/>
      <c r="F16" s="4"/>
    </row>
    <row r="18" customFormat="false" ht="15" hidden="false" customHeight="true" outlineLevel="0" collapsed="false">
      <c r="A18" s="6" t="s">
        <v>77</v>
      </c>
    </row>
    <row r="20" customFormat="false" ht="15" hidden="false" customHeight="true" outlineLevel="0" collapsed="false">
      <c r="A20" s="6" t="s">
        <v>78</v>
      </c>
      <c r="B20" s="6" t="s">
        <v>79</v>
      </c>
      <c r="C20" s="6" t="s">
        <v>80</v>
      </c>
      <c r="D20" s="6" t="s">
        <v>81</v>
      </c>
      <c r="E20" s="6" t="s">
        <v>82</v>
      </c>
      <c r="F20" s="6" t="s">
        <v>83</v>
      </c>
      <c r="G20" s="6" t="s">
        <v>84</v>
      </c>
      <c r="H20" s="6" t="s">
        <v>85</v>
      </c>
      <c r="J20" s="6" t="s">
        <v>86</v>
      </c>
    </row>
    <row r="21" customFormat="false" ht="81.75" hidden="false" customHeight="true" outlineLevel="0" collapsed="false">
      <c r="A21" s="1" t="s">
        <v>87</v>
      </c>
      <c r="B21" s="15" t="n">
        <v>0.55</v>
      </c>
      <c r="C21" s="15" t="n">
        <v>0.28</v>
      </c>
      <c r="D21" s="15" t="n">
        <v>0.12</v>
      </c>
      <c r="E21" s="15" t="n">
        <v>0.04</v>
      </c>
      <c r="F21" s="15" t="n">
        <v>0.01</v>
      </c>
      <c r="G21" s="16" t="n">
        <f aca="false">B21*$C$9+C21*$C$10+D21*$C$11+E21*$C$12+F21*$C$13</f>
        <v>0.04398</v>
      </c>
      <c r="H21" s="14" t="s">
        <v>88</v>
      </c>
      <c r="J21" s="16" t="n">
        <f aca="false">SUM(B21:F21)</f>
        <v>1</v>
      </c>
    </row>
    <row r="22" customFormat="false" ht="81.75" hidden="false" customHeight="true" outlineLevel="0" collapsed="false">
      <c r="A22" s="1" t="s">
        <v>89</v>
      </c>
      <c r="B22" s="15" t="n">
        <v>0.3</v>
      </c>
      <c r="C22" s="15" t="n">
        <v>0.3</v>
      </c>
      <c r="D22" s="15" t="n">
        <v>0.22</v>
      </c>
      <c r="E22" s="15" t="n">
        <v>0.13</v>
      </c>
      <c r="F22" s="15" t="n">
        <v>0.05</v>
      </c>
      <c r="G22" s="16" t="n">
        <f aca="false">B22*$C$9+C22*$C$10+D22*$C$11+E22*$C$12+F22*$C$13</f>
        <v>0.10233</v>
      </c>
      <c r="H22" s="14" t="s">
        <v>90</v>
      </c>
      <c r="J22" s="16" t="n">
        <f aca="false">SUM(B22:F22)</f>
        <v>1</v>
      </c>
    </row>
    <row r="23" customFormat="false" ht="81.75" hidden="false" customHeight="true" outlineLevel="0" collapsed="false">
      <c r="A23" s="1" t="s">
        <v>91</v>
      </c>
      <c r="B23" s="15" t="n">
        <v>0.2</v>
      </c>
      <c r="C23" s="15" t="n">
        <v>0.22</v>
      </c>
      <c r="D23" s="15" t="n">
        <v>0.25</v>
      </c>
      <c r="E23" s="15" t="n">
        <v>0.22</v>
      </c>
      <c r="F23" s="15" t="n">
        <v>0.11</v>
      </c>
      <c r="G23" s="16" t="n">
        <f aca="false">B23*$C$9+C23*$C$10+D23*$C$11+E23*$C$12+F23*$C$13</f>
        <v>0.16094</v>
      </c>
      <c r="H23" s="14" t="s">
        <v>92</v>
      </c>
      <c r="J23" s="16" t="n">
        <f aca="false">SUM(B23:F23)</f>
        <v>1</v>
      </c>
    </row>
    <row r="24" customFormat="false" ht="95.25" hidden="false" customHeight="true" outlineLevel="0" collapsed="false">
      <c r="A24" s="1" t="s">
        <v>93</v>
      </c>
      <c r="B24" s="15" t="n">
        <v>0.25</v>
      </c>
      <c r="C24" s="15" t="n">
        <v>0.25</v>
      </c>
      <c r="D24" s="15" t="n">
        <v>0.25</v>
      </c>
      <c r="E24" s="15" t="n">
        <v>0.17</v>
      </c>
      <c r="F24" s="15" t="n">
        <v>0.08</v>
      </c>
      <c r="G24" s="16" t="n">
        <f aca="false">B24*$C$9+C24*$C$10+D24*$C$11+E24*$C$12+F24*$C$13</f>
        <v>0.13141</v>
      </c>
      <c r="H24" s="14" t="s">
        <v>94</v>
      </c>
      <c r="J24" s="16" t="n">
        <f aca="false">SUM(B24:F24)</f>
        <v>1</v>
      </c>
    </row>
    <row r="25" customFormat="false" ht="15" hidden="false" customHeight="true" outlineLevel="0" collapsed="false">
      <c r="A25" s="6" t="s">
        <v>95</v>
      </c>
    </row>
    <row r="26" customFormat="false" ht="95.25" hidden="false" customHeight="true" outlineLevel="0" collapsed="false">
      <c r="A26" s="14" t="s">
        <v>96</v>
      </c>
    </row>
    <row r="28" customFormat="false" ht="15" hidden="false" customHeight="true" outlineLevel="0" collapsed="false">
      <c r="A28" s="6" t="s">
        <v>97</v>
      </c>
    </row>
    <row r="29" customFormat="false" ht="79.5" hidden="false" customHeight="true" outlineLevel="0" collapsed="false">
      <c r="A29" s="7" t="s">
        <v>98</v>
      </c>
    </row>
    <row r="31" customFormat="false" ht="15" hidden="false" customHeight="true" outlineLevel="0" collapsed="false">
      <c r="A31" s="17" t="s">
        <v>99</v>
      </c>
      <c r="B31" s="17" t="s">
        <v>54</v>
      </c>
      <c r="C31" s="17" t="s">
        <v>100</v>
      </c>
      <c r="D31" s="17" t="s">
        <v>101</v>
      </c>
      <c r="E31" s="17" t="s">
        <v>102</v>
      </c>
      <c r="F31" s="17" t="s">
        <v>103</v>
      </c>
    </row>
    <row r="32" customFormat="false" ht="15" hidden="false" customHeight="true" outlineLevel="0" collapsed="false">
      <c r="A32" s="1" t="s">
        <v>60</v>
      </c>
      <c r="B32" s="1" t="s">
        <v>61</v>
      </c>
      <c r="C32" s="1" t="s">
        <v>104</v>
      </c>
      <c r="D32" s="18" t="n">
        <v>0.003</v>
      </c>
      <c r="E32" s="19" t="n">
        <f aca="false">C9*$B$4</f>
        <v>42600</v>
      </c>
      <c r="F32" s="7" t="s">
        <v>105</v>
      </c>
    </row>
    <row r="33" customFormat="false" ht="15" hidden="false" customHeight="true" outlineLevel="0" collapsed="false">
      <c r="A33" s="1" t="s">
        <v>65</v>
      </c>
      <c r="B33" s="1" t="s">
        <v>66</v>
      </c>
      <c r="C33" s="1" t="s">
        <v>104</v>
      </c>
      <c r="D33" s="18" t="n">
        <v>0.047</v>
      </c>
      <c r="E33" s="19" t="n">
        <f aca="false">C10*$B$4</f>
        <v>667400</v>
      </c>
      <c r="F33" s="7" t="s">
        <v>105</v>
      </c>
    </row>
    <row r="34" customFormat="false" ht="15" hidden="false" customHeight="true" outlineLevel="0" collapsed="false">
      <c r="A34" s="1" t="s">
        <v>67</v>
      </c>
      <c r="B34" s="1" t="s">
        <v>68</v>
      </c>
      <c r="C34" s="1" t="s">
        <v>106</v>
      </c>
      <c r="D34" s="18" t="n">
        <v>0.105</v>
      </c>
      <c r="E34" s="19" t="n">
        <f aca="false">C11*$B$4</f>
        <v>1491000</v>
      </c>
      <c r="F34" s="7" t="s">
        <v>105</v>
      </c>
    </row>
    <row r="35" customFormat="false" ht="15" hidden="false" customHeight="true" outlineLevel="0" collapsed="false">
      <c r="A35" s="1" t="s">
        <v>71</v>
      </c>
      <c r="B35" s="1" t="s">
        <v>72</v>
      </c>
      <c r="C35" s="1" t="s">
        <v>106</v>
      </c>
      <c r="D35" s="18" t="n">
        <v>0.266</v>
      </c>
      <c r="E35" s="19" t="n">
        <f aca="false">C12*$B$4</f>
        <v>3777200</v>
      </c>
      <c r="F35" s="7" t="s">
        <v>105</v>
      </c>
    </row>
    <row r="36" customFormat="false" ht="15" hidden="false" customHeight="true" outlineLevel="0" collapsed="false">
      <c r="A36" s="1" t="s">
        <v>73</v>
      </c>
      <c r="B36" s="1" t="s">
        <v>74</v>
      </c>
      <c r="C36" s="1" t="s">
        <v>106</v>
      </c>
      <c r="D36" s="18" t="n">
        <v>0.593</v>
      </c>
      <c r="E36" s="19" t="n">
        <f aca="false">C13*$B$4</f>
        <v>8420600</v>
      </c>
      <c r="F36" s="7" t="s">
        <v>105</v>
      </c>
    </row>
    <row r="37" customFormat="false" ht="34.5" hidden="false" customHeight="true" outlineLevel="0" collapsed="false">
      <c r="A37" s="1" t="s">
        <v>75</v>
      </c>
      <c r="B37" s="1" t="s">
        <v>76</v>
      </c>
      <c r="C37" s="20" t="s">
        <v>107</v>
      </c>
      <c r="D37" s="18" t="n">
        <v>1</v>
      </c>
      <c r="E37" s="19" t="n">
        <f aca="false">C14*$B$4</f>
        <v>14200000</v>
      </c>
      <c r="F37" s="7" t="s">
        <v>108</v>
      </c>
    </row>
    <row r="39" customFormat="false" ht="15" hidden="false" customHeight="true" outlineLevel="0" collapsed="false">
      <c r="A39" s="6" t="s">
        <v>109</v>
      </c>
    </row>
    <row r="40" customFormat="false" ht="15" hidden="false" customHeight="true" outlineLevel="0" collapsed="false">
      <c r="A40" s="17" t="s">
        <v>110</v>
      </c>
      <c r="B40" s="17" t="s">
        <v>111</v>
      </c>
      <c r="C40" s="17" t="s">
        <v>112</v>
      </c>
    </row>
    <row r="41" customFormat="false" ht="34.5" hidden="false" customHeight="true" outlineLevel="0" collapsed="false">
      <c r="A41" s="1" t="s">
        <v>104</v>
      </c>
      <c r="B41" s="1" t="s">
        <v>113</v>
      </c>
      <c r="C41" s="7" t="s">
        <v>114</v>
      </c>
    </row>
    <row r="42" customFormat="false" ht="45.75" hidden="false" customHeight="true" outlineLevel="0" collapsed="false">
      <c r="A42" s="1" t="s">
        <v>106</v>
      </c>
      <c r="B42" s="1" t="s">
        <v>115</v>
      </c>
      <c r="C42" s="7" t="s">
        <v>116</v>
      </c>
    </row>
    <row r="43" customFormat="false" ht="45.75" hidden="false" customHeight="true" outlineLevel="0" collapsed="false">
      <c r="A43" s="1" t="s">
        <v>107</v>
      </c>
      <c r="B43" s="1" t="s">
        <v>75</v>
      </c>
      <c r="C43" s="7" t="s">
        <v>117</v>
      </c>
    </row>
    <row r="46" customFormat="false" ht="15" hidden="false" customHeight="true" outlineLevel="0" collapsed="false">
      <c r="A46" s="6" t="s">
        <v>118</v>
      </c>
    </row>
    <row r="47" customFormat="false" ht="79.5" hidden="false" customHeight="true" outlineLevel="0" collapsed="false">
      <c r="A47" s="7" t="s">
        <v>119</v>
      </c>
    </row>
    <row r="49" customFormat="false" ht="27.75" hidden="false" customHeight="true" outlineLevel="0" collapsed="false">
      <c r="A49" s="17" t="s">
        <v>78</v>
      </c>
      <c r="B49" s="17" t="s">
        <v>120</v>
      </c>
      <c r="C49" s="17" t="s">
        <v>121</v>
      </c>
      <c r="D49" s="17" t="s">
        <v>122</v>
      </c>
      <c r="E49" s="17" t="s">
        <v>123</v>
      </c>
      <c r="F49" s="17" t="s">
        <v>124</v>
      </c>
      <c r="G49" s="17" t="s">
        <v>125</v>
      </c>
    </row>
    <row r="50" customFormat="false" ht="15" hidden="false" customHeight="true" outlineLevel="0" collapsed="false">
      <c r="A50" s="1" t="s">
        <v>87</v>
      </c>
      <c r="B50" s="18" t="n">
        <f aca="false">B21+C21</f>
        <v>0.83</v>
      </c>
      <c r="C50" s="18" t="n">
        <f aca="false">D21+E21+F21</f>
        <v>0.17</v>
      </c>
      <c r="D50" s="19" t="n">
        <f aca="false">(B21*$C$9+C21*$C$10)*$B$4</f>
        <v>210302</v>
      </c>
      <c r="E50" s="19" t="n">
        <f aca="false">(D21*$C$11+E21*$C$12+F21*$C$13)*$B$4</f>
        <v>414214</v>
      </c>
      <c r="F50" s="19" t="n">
        <f aca="false">D50+E50</f>
        <v>624516</v>
      </c>
      <c r="G50" s="21" t="n">
        <f aca="false">ROUND(F50/$B$4-G21,6)</f>
        <v>0</v>
      </c>
    </row>
    <row r="51" customFormat="false" ht="15" hidden="false" customHeight="true" outlineLevel="0" collapsed="false">
      <c r="A51" s="1" t="s">
        <v>89</v>
      </c>
      <c r="B51" s="18" t="n">
        <f aca="false">B22+C22</f>
        <v>0.6</v>
      </c>
      <c r="C51" s="18" t="n">
        <f aca="false">D22+E22+F22</f>
        <v>0.4</v>
      </c>
      <c r="D51" s="19" t="n">
        <f aca="false">(B22*$C$9+C22*$C$10)*$B$4</f>
        <v>213000</v>
      </c>
      <c r="E51" s="19" t="n">
        <f aca="false">(D22*$C$11+E22*$C$12+F22*$C$13)*$B$4</f>
        <v>1240086</v>
      </c>
      <c r="F51" s="19" t="n">
        <f aca="false">D51+E51</f>
        <v>1453086</v>
      </c>
      <c r="G51" s="21" t="n">
        <f aca="false">ROUND(F51/$B$4-G22,6)</f>
        <v>0</v>
      </c>
    </row>
    <row r="52" customFormat="false" ht="15" hidden="false" customHeight="true" outlineLevel="0" collapsed="false">
      <c r="A52" s="1" t="s">
        <v>91</v>
      </c>
      <c r="B52" s="18" t="n">
        <f aca="false">B23+C23</f>
        <v>0.42</v>
      </c>
      <c r="C52" s="18" t="n">
        <f aca="false">D23+E23+F23</f>
        <v>0.58</v>
      </c>
      <c r="D52" s="19" t="n">
        <f aca="false">(B23*$C$9+C23*$C$10)*$B$4</f>
        <v>155348</v>
      </c>
      <c r="E52" s="19" t="n">
        <f aca="false">(D23*$C$11+E23*$C$12+F23*$C$13)*$B$4</f>
        <v>2130000</v>
      </c>
      <c r="F52" s="19" t="n">
        <f aca="false">D52+E52</f>
        <v>2285348</v>
      </c>
      <c r="G52" s="21" t="n">
        <f aca="false">ROUND(F52/$B$4-G23,6)</f>
        <v>0</v>
      </c>
    </row>
    <row r="53" customFormat="false" ht="15" hidden="false" customHeight="true" outlineLevel="0" collapsed="false">
      <c r="A53" s="1" t="s">
        <v>93</v>
      </c>
      <c r="B53" s="18" t="n">
        <f aca="false">B24+C24</f>
        <v>0.5</v>
      </c>
      <c r="C53" s="18" t="n">
        <f aca="false">D24+E24+F24</f>
        <v>0.5</v>
      </c>
      <c r="D53" s="19" t="n">
        <f aca="false">(B24*$C$9+C24*$C$10)*$B$4</f>
        <v>177500</v>
      </c>
      <c r="E53" s="19" t="n">
        <f aca="false">(D24*$C$11+E24*$C$12+F24*$C$13)*$B$4</f>
        <v>1688522</v>
      </c>
      <c r="F53" s="19" t="n">
        <f aca="false">D53+E53</f>
        <v>1866022</v>
      </c>
      <c r="G53" s="21" t="n">
        <f aca="false">ROUND(F53/$B$4-G24,6)</f>
        <v>0</v>
      </c>
    </row>
    <row r="54" customFormat="false" ht="23.25" hidden="false" customHeight="true" outlineLevel="0" collapsed="false">
      <c r="A54" s="7" t="s">
        <v>126</v>
      </c>
    </row>
    <row r="56" customFormat="false" ht="15" hidden="false" customHeight="true" outlineLevel="0" collapsed="false">
      <c r="A56" s="6" t="s">
        <v>127</v>
      </c>
    </row>
    <row r="57" customFormat="false" ht="34.5" hidden="false" customHeight="true" outlineLevel="0" collapsed="false">
      <c r="A57" s="7" t="s">
        <v>128</v>
      </c>
    </row>
    <row r="59" customFormat="false" ht="15" hidden="false" customHeight="true" outlineLevel="0" collapsed="false">
      <c r="A59" s="17" t="s">
        <v>129</v>
      </c>
      <c r="B59" s="17" t="s">
        <v>130</v>
      </c>
      <c r="C59" s="17" t="s">
        <v>131</v>
      </c>
      <c r="D59" s="17" t="s">
        <v>3</v>
      </c>
    </row>
    <row r="60" customFormat="false" ht="23.25" hidden="false" customHeight="true" outlineLevel="0" collapsed="false">
      <c r="A60" s="1" t="s">
        <v>60</v>
      </c>
      <c r="B60" s="1" t="s">
        <v>132</v>
      </c>
      <c r="C60" s="7" t="s">
        <v>133</v>
      </c>
      <c r="D60" s="22" t="s">
        <v>134</v>
      </c>
    </row>
    <row r="61" customFormat="false" ht="23.25" hidden="false" customHeight="true" outlineLevel="0" collapsed="false">
      <c r="A61" s="1" t="s">
        <v>65</v>
      </c>
      <c r="B61" s="1" t="s">
        <v>132</v>
      </c>
      <c r="C61" s="7" t="s">
        <v>133</v>
      </c>
      <c r="D61" s="22" t="s">
        <v>134</v>
      </c>
    </row>
    <row r="62" customFormat="false" ht="23.25" hidden="false" customHeight="true" outlineLevel="0" collapsed="false">
      <c r="A62" s="1" t="s">
        <v>67</v>
      </c>
      <c r="B62" s="1" t="s">
        <v>132</v>
      </c>
      <c r="C62" s="7" t="s">
        <v>135</v>
      </c>
      <c r="D62" s="22" t="s">
        <v>134</v>
      </c>
    </row>
    <row r="63" customFormat="false" ht="23.25" hidden="false" customHeight="true" outlineLevel="0" collapsed="false">
      <c r="A63" s="1" t="s">
        <v>71</v>
      </c>
      <c r="B63" s="1" t="s">
        <v>132</v>
      </c>
      <c r="C63" s="7" t="s">
        <v>135</v>
      </c>
      <c r="D63" s="22" t="s">
        <v>134</v>
      </c>
    </row>
    <row r="64" customFormat="false" ht="23.25" hidden="false" customHeight="true" outlineLevel="0" collapsed="false">
      <c r="A64" s="1" t="s">
        <v>73</v>
      </c>
      <c r="B64" s="1" t="s">
        <v>132</v>
      </c>
      <c r="C64" s="7" t="s">
        <v>135</v>
      </c>
      <c r="D64" s="22" t="s">
        <v>134</v>
      </c>
    </row>
    <row r="65" customFormat="false" ht="34.5" hidden="false" customHeight="true" outlineLevel="0" collapsed="false">
      <c r="A65" s="1" t="s">
        <v>75</v>
      </c>
      <c r="B65" s="1" t="s">
        <v>132</v>
      </c>
      <c r="C65" s="7" t="s">
        <v>136</v>
      </c>
      <c r="D65" s="22" t="s">
        <v>137</v>
      </c>
    </row>
    <row r="67" customFormat="false" ht="57" hidden="false" customHeight="true" outlineLevel="0" collapsed="false">
      <c r="A67" s="7" t="s">
        <v>138</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42"/>
    <col collapsed="false" customWidth="true" hidden="false" outlineLevel="0" max="4" min="4" style="1" width="52"/>
    <col collapsed="false" customWidth="true" hidden="false" outlineLevel="0" max="5" min="5" style="1" width="40"/>
  </cols>
  <sheetData>
    <row r="1" customFormat="false" ht="15" hidden="false" customHeight="true" outlineLevel="0" collapsed="false">
      <c r="A1" s="6" t="s">
        <v>139</v>
      </c>
    </row>
    <row r="2" customFormat="false" ht="68.25" hidden="false" customHeight="true" outlineLevel="0" collapsed="false">
      <c r="A2" s="14" t="s">
        <v>140</v>
      </c>
    </row>
    <row r="4" customFormat="false" ht="15" hidden="false" customHeight="true" outlineLevel="0" collapsed="false">
      <c r="A4" s="6" t="s">
        <v>141</v>
      </c>
    </row>
    <row r="5" customFormat="false" ht="15" hidden="false" customHeight="true" outlineLevel="0" collapsed="false">
      <c r="A5" s="17" t="s">
        <v>142</v>
      </c>
      <c r="B5" s="17" t="s">
        <v>143</v>
      </c>
      <c r="C5" s="17" t="s">
        <v>144</v>
      </c>
      <c r="D5" s="17" t="s">
        <v>145</v>
      </c>
      <c r="E5" s="17" t="s">
        <v>146</v>
      </c>
    </row>
    <row r="6" customFormat="false" ht="54.75" hidden="false" customHeight="true" outlineLevel="0" collapsed="false">
      <c r="A6" s="14" t="s">
        <v>147</v>
      </c>
      <c r="B6" s="14" t="s">
        <v>148</v>
      </c>
      <c r="C6" s="14" t="s">
        <v>149</v>
      </c>
      <c r="D6" s="14" t="s">
        <v>150</v>
      </c>
      <c r="E6" s="14" t="s">
        <v>151</v>
      </c>
    </row>
    <row r="7" customFormat="false" ht="41.25" hidden="false" customHeight="true" outlineLevel="0" collapsed="false">
      <c r="A7" s="14" t="s">
        <v>152</v>
      </c>
      <c r="B7" s="14" t="s">
        <v>153</v>
      </c>
      <c r="C7" s="14" t="s">
        <v>154</v>
      </c>
      <c r="D7" s="14" t="s">
        <v>155</v>
      </c>
      <c r="E7" s="14" t="s">
        <v>156</v>
      </c>
    </row>
    <row r="9" customFormat="false" ht="15" hidden="false" customHeight="true" outlineLevel="0" collapsed="false">
      <c r="A9" s="6" t="s">
        <v>157</v>
      </c>
    </row>
    <row r="10" customFormat="false" ht="15" hidden="false" customHeight="true" outlineLevel="0" collapsed="false">
      <c r="A10" s="17" t="s">
        <v>158</v>
      </c>
      <c r="B10" s="17" t="s">
        <v>159</v>
      </c>
      <c r="C10" s="17" t="s">
        <v>160</v>
      </c>
      <c r="D10" s="17" t="s">
        <v>161</v>
      </c>
    </row>
    <row r="11" customFormat="false" ht="27.75" hidden="false" customHeight="true" outlineLevel="0" collapsed="false">
      <c r="A11" s="14" t="s">
        <v>162</v>
      </c>
      <c r="B11" s="14" t="s">
        <v>163</v>
      </c>
      <c r="C11" s="14" t="s">
        <v>164</v>
      </c>
      <c r="D11" s="14" t="s">
        <v>165</v>
      </c>
    </row>
    <row r="12" customFormat="false" ht="54.75" hidden="false" customHeight="true" outlineLevel="0" collapsed="false">
      <c r="A12" s="14" t="s">
        <v>166</v>
      </c>
      <c r="B12" s="14" t="s">
        <v>167</v>
      </c>
      <c r="C12" s="14" t="s">
        <v>168</v>
      </c>
      <c r="D12" s="14" t="s">
        <v>169</v>
      </c>
    </row>
    <row r="13" customFormat="false" ht="41.25" hidden="false" customHeight="true" outlineLevel="0" collapsed="false">
      <c r="A13" s="14" t="s">
        <v>170</v>
      </c>
      <c r="B13" s="14" t="s">
        <v>171</v>
      </c>
      <c r="C13" s="14" t="s">
        <v>172</v>
      </c>
      <c r="D13" s="14" t="s">
        <v>173</v>
      </c>
    </row>
    <row r="14" customFormat="false" ht="41.25" hidden="false" customHeight="true" outlineLevel="0" collapsed="false">
      <c r="A14" s="14" t="s">
        <v>174</v>
      </c>
      <c r="B14" s="14" t="s">
        <v>175</v>
      </c>
      <c r="C14" s="14" t="s">
        <v>176</v>
      </c>
      <c r="D14" s="14" t="s">
        <v>177</v>
      </c>
    </row>
    <row r="15" customFormat="false" ht="41.25" hidden="false" customHeight="true" outlineLevel="0" collapsed="false">
      <c r="A15" s="14" t="s">
        <v>178</v>
      </c>
      <c r="B15" s="14" t="s">
        <v>179</v>
      </c>
      <c r="C15" s="14" t="s">
        <v>180</v>
      </c>
      <c r="D15" s="14" t="s">
        <v>181</v>
      </c>
    </row>
    <row r="17" customFormat="false" ht="149.25" hidden="false" customHeight="true" outlineLevel="0" collapsed="false">
      <c r="A17" s="6" t="s">
        <v>182</v>
      </c>
      <c r="B17" s="14"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34"/>
    <col collapsed="false" customWidth="true" hidden="false" outlineLevel="0" max="4" min="4" style="1" width="28"/>
    <col collapsed="false" customWidth="true" hidden="false" outlineLevel="0" max="5" min="5" style="1" width="14"/>
    <col collapsed="false" customWidth="true" hidden="false" outlineLevel="0" max="6" min="6" style="1" width="48"/>
    <col collapsed="false" customWidth="true" hidden="false" outlineLevel="0" max="8" min="7" style="1" width="12"/>
    <col collapsed="false" customWidth="true" hidden="false" outlineLevel="0" max="12" min="9" style="1" width="16"/>
    <col collapsed="false" customWidth="true" hidden="false" outlineLevel="0" max="14" min="13" style="1" width="12"/>
    <col collapsed="false" customWidth="true" hidden="false" outlineLevel="0" max="18" min="15" style="1" width="16"/>
    <col collapsed="false" customWidth="true" hidden="false" outlineLevel="0" max="20" min="19" style="1" width="12"/>
    <col collapsed="false" customWidth="true" hidden="false" outlineLevel="0" max="24" min="21" style="1" width="16"/>
    <col collapsed="false" customWidth="true" hidden="false" outlineLevel="0" max="25" min="25" style="1" width="20"/>
    <col collapsed="false" customWidth="true" hidden="false" outlineLevel="0" max="26" min="26" style="1" width="55"/>
    <col collapsed="false" customWidth="true" hidden="false" outlineLevel="0" max="27" min="27" style="1" width="48"/>
  </cols>
  <sheetData>
    <row r="1" customFormat="false" ht="27.75" hidden="false" customHeight="true" outlineLevel="0" collapsed="false">
      <c r="A1" s="2" t="s">
        <v>184</v>
      </c>
      <c r="B1" s="2"/>
      <c r="C1" s="2"/>
      <c r="D1" s="2"/>
      <c r="E1" s="2"/>
      <c r="F1" s="2"/>
      <c r="G1" s="2"/>
      <c r="H1" s="2"/>
      <c r="I1" s="2"/>
      <c r="J1" s="2"/>
      <c r="K1" s="2"/>
      <c r="L1" s="2"/>
      <c r="M1" s="2"/>
      <c r="N1" s="2"/>
      <c r="O1" s="2"/>
      <c r="P1" s="2"/>
      <c r="Q1" s="2"/>
      <c r="R1" s="2"/>
      <c r="S1" s="2"/>
      <c r="T1" s="2"/>
      <c r="U1" s="2"/>
      <c r="V1" s="2"/>
      <c r="W1" s="2"/>
      <c r="X1" s="2"/>
      <c r="Y1" s="2"/>
      <c r="Z1" s="2"/>
      <c r="AA1" s="2"/>
    </row>
    <row r="3" customFormat="false" ht="27.75" hidden="false" customHeight="true" outlineLevel="0" collapsed="false">
      <c r="A3" s="8" t="s">
        <v>185</v>
      </c>
      <c r="B3" s="8" t="s">
        <v>142</v>
      </c>
      <c r="C3" s="8" t="s">
        <v>186</v>
      </c>
      <c r="D3" s="8" t="s">
        <v>158</v>
      </c>
      <c r="E3" s="8" t="s">
        <v>17</v>
      </c>
      <c r="F3" s="8" t="s">
        <v>187</v>
      </c>
      <c r="G3" s="8" t="s">
        <v>188</v>
      </c>
      <c r="H3" s="8" t="s">
        <v>189</v>
      </c>
      <c r="I3" s="8" t="s">
        <v>190</v>
      </c>
      <c r="J3" s="8" t="s">
        <v>191</v>
      </c>
      <c r="K3" s="8" t="s">
        <v>192</v>
      </c>
      <c r="L3" s="8" t="s">
        <v>193</v>
      </c>
      <c r="M3" s="8" t="s">
        <v>194</v>
      </c>
      <c r="N3" s="8" t="s">
        <v>195</v>
      </c>
      <c r="O3" s="8" t="s">
        <v>196</v>
      </c>
      <c r="P3" s="8" t="s">
        <v>197</v>
      </c>
      <c r="Q3" s="8" t="s">
        <v>198</v>
      </c>
      <c r="R3" s="8" t="s">
        <v>199</v>
      </c>
      <c r="S3" s="8" t="s">
        <v>200</v>
      </c>
      <c r="T3" s="8" t="s">
        <v>201</v>
      </c>
      <c r="U3" s="8" t="s">
        <v>202</v>
      </c>
      <c r="V3" s="8" t="s">
        <v>203</v>
      </c>
      <c r="W3" s="8" t="s">
        <v>204</v>
      </c>
      <c r="X3" s="8" t="s">
        <v>205</v>
      </c>
      <c r="Y3" s="8" t="s">
        <v>206</v>
      </c>
      <c r="Z3" s="8" t="s">
        <v>207</v>
      </c>
      <c r="AA3" s="8" t="s">
        <v>208</v>
      </c>
      <c r="AB3" s="9" t="s">
        <v>209</v>
      </c>
      <c r="AC3" s="9" t="s">
        <v>210</v>
      </c>
      <c r="AD3" s="9" t="s">
        <v>211</v>
      </c>
      <c r="AE3" s="9" t="s">
        <v>212</v>
      </c>
      <c r="AF3" s="9" t="s">
        <v>213</v>
      </c>
      <c r="AG3" s="9" t="s">
        <v>214</v>
      </c>
      <c r="AH3" s="9" t="s">
        <v>215</v>
      </c>
      <c r="AI3" s="9" t="s">
        <v>216</v>
      </c>
      <c r="AJ3" s="9" t="s">
        <v>217</v>
      </c>
      <c r="AK3" s="9" t="s">
        <v>218</v>
      </c>
    </row>
    <row r="4" customFormat="false" ht="41.25" hidden="false" customHeight="true" outlineLevel="0" collapsed="false">
      <c r="A4" s="4" t="s">
        <v>219</v>
      </c>
      <c r="B4" s="4" t="s">
        <v>220</v>
      </c>
      <c r="C4" s="4" t="s">
        <v>221</v>
      </c>
      <c r="D4" s="4" t="s">
        <v>222</v>
      </c>
      <c r="E4" s="4" t="s">
        <v>223</v>
      </c>
      <c r="F4" s="4" t="s">
        <v>224</v>
      </c>
      <c r="G4" s="4" t="n">
        <v>0</v>
      </c>
      <c r="H4" s="4" t="n">
        <v>2</v>
      </c>
      <c r="I4" s="13" t="n">
        <f aca="false">IFERROR(INDEX('VSL and Injuries'!$G$21:$G$24,MATCH($AE4,'VSL and Injuries'!$A$21:$A$24,0)),"")</f>
        <v>0.16094</v>
      </c>
      <c r="J4" s="10" t="n">
        <f aca="false">AI4*'VSL and Injuries'!$K$6</f>
        <v>517500</v>
      </c>
      <c r="K4" s="10" t="n">
        <f aca="false">G4*'VSL and Injuries'!$B$4+H4*'VSL and Injuries'!$B$4*I4</f>
        <v>4570696</v>
      </c>
      <c r="L4" s="10" t="n">
        <f aca="false">J4+K4</f>
        <v>5088196</v>
      </c>
      <c r="M4" s="4" t="n">
        <v>1</v>
      </c>
      <c r="N4" s="4" t="n">
        <v>15</v>
      </c>
      <c r="O4" s="13" t="n">
        <f aca="false">IFERROR(INDEX('VSL and Injuries'!$G$21:$G$24,MATCH($AE4,'VSL and Injuries'!$A$21:$A$24,0)),"")</f>
        <v>0.16094</v>
      </c>
      <c r="P4" s="10" t="n">
        <f aca="false">AJ4*'VSL and Injuries'!$K$6</f>
        <v>10350000</v>
      </c>
      <c r="Q4" s="10" t="n">
        <f aca="false">M4*'VSL and Injuries'!$B$4+N4*'VSL and Injuries'!$B$4*O4</f>
        <v>48480220</v>
      </c>
      <c r="R4" s="10" t="n">
        <f aca="false">P4+Q4</f>
        <v>58830220</v>
      </c>
      <c r="S4" s="4" t="n">
        <v>20</v>
      </c>
      <c r="T4" s="4" t="n">
        <v>100</v>
      </c>
      <c r="U4" s="13" t="n">
        <f aca="false">IFERROR(INDEX('VSL and Injuries'!$G$21:$G$24,MATCH($AE4,'VSL and Injuries'!$A$21:$A$24,0)),"")</f>
        <v>0.16094</v>
      </c>
      <c r="V4" s="10" t="n">
        <f aca="false">AK4*'VSL and Injuries'!$K$6</f>
        <v>155250000</v>
      </c>
      <c r="W4" s="10" t="n">
        <f aca="false">S4*'VSL and Injuries'!$B$4+T4*'VSL and Injuries'!$B$4*U4</f>
        <v>512534800</v>
      </c>
      <c r="X4" s="10" t="n">
        <f aca="false">V4+W4</f>
        <v>667784800</v>
      </c>
      <c r="Y4" s="4" t="s">
        <v>225</v>
      </c>
      <c r="Z4" s="4" t="s">
        <v>226</v>
      </c>
      <c r="AA4" s="4" t="s">
        <v>227</v>
      </c>
      <c r="AB4" s="7" t="s">
        <v>228</v>
      </c>
      <c r="AC4" s="23" t="s">
        <v>229</v>
      </c>
      <c r="AD4" s="23" t="s">
        <v>230</v>
      </c>
      <c r="AE4" s="23" t="s">
        <v>91</v>
      </c>
      <c r="AF4" s="24" t="n">
        <v>0.02</v>
      </c>
      <c r="AG4" s="24" t="n">
        <v>0.04</v>
      </c>
      <c r="AH4" s="24" t="n">
        <v>0.08</v>
      </c>
      <c r="AI4" s="25" t="n">
        <v>500000</v>
      </c>
      <c r="AJ4" s="25" t="n">
        <v>10000000</v>
      </c>
      <c r="AK4" s="25" t="n">
        <v>150000000</v>
      </c>
    </row>
    <row r="5" customFormat="false" ht="27.75" hidden="false" customHeight="true" outlineLevel="0" collapsed="false">
      <c r="A5" s="4" t="s">
        <v>231</v>
      </c>
      <c r="B5" s="4" t="s">
        <v>220</v>
      </c>
      <c r="C5" s="4" t="s">
        <v>232</v>
      </c>
      <c r="D5" s="4" t="s">
        <v>233</v>
      </c>
      <c r="E5" s="4" t="s">
        <v>234</v>
      </c>
      <c r="F5" s="4" t="s">
        <v>235</v>
      </c>
      <c r="G5" s="4" t="n">
        <v>0</v>
      </c>
      <c r="H5" s="4" t="n">
        <v>3</v>
      </c>
      <c r="I5" s="13" t="n">
        <f aca="false">IFERROR(INDEX('VSL and Injuries'!$G$21:$G$24,MATCH($AE5,'VSL and Injuries'!$A$21:$A$24,0)),"")</f>
        <v>0.10233</v>
      </c>
      <c r="J5" s="10" t="n">
        <f aca="false">AI5*'VSL and Injuries'!$K$6</f>
        <v>1035000</v>
      </c>
      <c r="K5" s="10" t="n">
        <f aca="false">G5*'VSL and Injuries'!$B$4+H5*'VSL and Injuries'!$B$4*I5</f>
        <v>4359258</v>
      </c>
      <c r="L5" s="10" t="n">
        <f aca="false">J5+K5</f>
        <v>5394258</v>
      </c>
      <c r="M5" s="4" t="n">
        <v>8</v>
      </c>
      <c r="N5" s="4" t="n">
        <v>25</v>
      </c>
      <c r="O5" s="13" t="n">
        <f aca="false">IFERROR(INDEX('VSL and Injuries'!$G$21:$G$24,MATCH($AE5,'VSL and Injuries'!$A$21:$A$24,0)),"")</f>
        <v>0.10233</v>
      </c>
      <c r="P5" s="10" t="n">
        <f aca="false">AJ5*'VSL and Injuries'!$K$6</f>
        <v>20700000</v>
      </c>
      <c r="Q5" s="10" t="n">
        <f aca="false">M5*'VSL and Injuries'!$B$4+N5*'VSL and Injuries'!$B$4*O5</f>
        <v>149927150</v>
      </c>
      <c r="R5" s="10" t="n">
        <f aca="false">P5+Q5</f>
        <v>170627150</v>
      </c>
      <c r="S5" s="4" t="n">
        <v>40</v>
      </c>
      <c r="T5" s="4" t="n">
        <v>100</v>
      </c>
      <c r="U5" s="13" t="n">
        <f aca="false">IFERROR(INDEX('VSL and Injuries'!$G$21:$G$24,MATCH($AE5,'VSL and Injuries'!$A$21:$A$24,0)),"")</f>
        <v>0.10233</v>
      </c>
      <c r="V5" s="10" t="n">
        <f aca="false">AK5*'VSL and Injuries'!$K$6</f>
        <v>103500000</v>
      </c>
      <c r="W5" s="10" t="n">
        <f aca="false">S5*'VSL and Injuries'!$B$4+T5*'VSL and Injuries'!$B$4*U5</f>
        <v>713308600</v>
      </c>
      <c r="X5" s="10" t="n">
        <f aca="false">V5+W5</f>
        <v>816808600</v>
      </c>
      <c r="Y5" s="4" t="s">
        <v>236</v>
      </c>
      <c r="Z5" s="4" t="s">
        <v>237</v>
      </c>
      <c r="AA5" s="4" t="s">
        <v>238</v>
      </c>
      <c r="AB5" s="7" t="s">
        <v>228</v>
      </c>
      <c r="AC5" s="23" t="s">
        <v>229</v>
      </c>
      <c r="AD5" s="23" t="s">
        <v>230</v>
      </c>
      <c r="AE5" s="23" t="s">
        <v>89</v>
      </c>
      <c r="AF5" s="24" t="n">
        <v>0.025</v>
      </c>
      <c r="AG5" s="24" t="n">
        <v>0.05</v>
      </c>
      <c r="AH5" s="24" t="n">
        <v>0.1</v>
      </c>
      <c r="AI5" s="25" t="n">
        <v>1000000</v>
      </c>
      <c r="AJ5" s="25" t="n">
        <v>20000000</v>
      </c>
      <c r="AK5" s="25" t="n">
        <v>100000000</v>
      </c>
    </row>
    <row r="6" customFormat="false" ht="41.25" hidden="false" customHeight="true" outlineLevel="0" collapsed="false">
      <c r="A6" s="4" t="s">
        <v>239</v>
      </c>
      <c r="B6" s="4" t="s">
        <v>220</v>
      </c>
      <c r="C6" s="4" t="s">
        <v>240</v>
      </c>
      <c r="D6" s="4" t="s">
        <v>241</v>
      </c>
      <c r="E6" s="4" t="s">
        <v>66</v>
      </c>
      <c r="F6" s="4" t="s">
        <v>242</v>
      </c>
      <c r="G6" s="4" t="n">
        <v>0</v>
      </c>
      <c r="H6" s="4" t="n">
        <v>2</v>
      </c>
      <c r="I6" s="13" t="n">
        <f aca="false">IFERROR(INDEX('VSL and Injuries'!$G$21:$G$24,MATCH($AE6,'VSL and Injuries'!$A$21:$A$24,0)),"")</f>
        <v>0.10233</v>
      </c>
      <c r="J6" s="10" t="n">
        <f aca="false">AI6*'VSL and Injuries'!$K$6</f>
        <v>103500</v>
      </c>
      <c r="K6" s="10" t="n">
        <f aca="false">G6*'VSL and Injuries'!$B$4+H6*'VSL and Injuries'!$B$4*I6</f>
        <v>2906172</v>
      </c>
      <c r="L6" s="10" t="n">
        <f aca="false">J6+K6</f>
        <v>3009672</v>
      </c>
      <c r="M6" s="4" t="n">
        <v>2</v>
      </c>
      <c r="N6" s="4" t="n">
        <v>8</v>
      </c>
      <c r="O6" s="13" t="n">
        <f aca="false">IFERROR(INDEX('VSL and Injuries'!$G$21:$G$24,MATCH($AE6,'VSL and Injuries'!$A$21:$A$24,0)),"")</f>
        <v>0.10233</v>
      </c>
      <c r="P6" s="10" t="n">
        <f aca="false">AJ6*'VSL and Injuries'!$K$6</f>
        <v>517500</v>
      </c>
      <c r="Q6" s="10" t="n">
        <f aca="false">M6*'VSL and Injuries'!$B$4+N6*'VSL and Injuries'!$B$4*O6</f>
        <v>40024688</v>
      </c>
      <c r="R6" s="10" t="n">
        <f aca="false">P6+Q6</f>
        <v>40542188</v>
      </c>
      <c r="S6" s="4" t="n">
        <v>15</v>
      </c>
      <c r="T6" s="4" t="n">
        <v>35</v>
      </c>
      <c r="U6" s="13" t="n">
        <f aca="false">IFERROR(INDEX('VSL and Injuries'!$G$21:$G$24,MATCH($AE6,'VSL and Injuries'!$A$21:$A$24,0)),"")</f>
        <v>0.10233</v>
      </c>
      <c r="V6" s="10" t="n">
        <f aca="false">AK6*'VSL and Injuries'!$K$6</f>
        <v>5175000</v>
      </c>
      <c r="W6" s="10" t="n">
        <f aca="false">S6*'VSL and Injuries'!$B$4+T6*'VSL and Injuries'!$B$4*U6</f>
        <v>263858010</v>
      </c>
      <c r="X6" s="10" t="n">
        <f aca="false">V6+W6</f>
        <v>269033010</v>
      </c>
      <c r="Y6" s="4" t="s">
        <v>243</v>
      </c>
      <c r="Z6" s="4" t="s">
        <v>244</v>
      </c>
      <c r="AA6" s="4" t="s">
        <v>245</v>
      </c>
      <c r="AB6" s="7" t="s">
        <v>228</v>
      </c>
      <c r="AC6" s="23" t="s">
        <v>229</v>
      </c>
      <c r="AD6" s="23" t="s">
        <v>230</v>
      </c>
      <c r="AE6" s="23" t="s">
        <v>89</v>
      </c>
      <c r="AF6" s="24" t="n">
        <v>0.02</v>
      </c>
      <c r="AG6" s="24" t="n">
        <v>0.035</v>
      </c>
      <c r="AH6" s="24" t="n">
        <v>0.08</v>
      </c>
      <c r="AI6" s="25" t="n">
        <v>100000</v>
      </c>
      <c r="AJ6" s="25" t="n">
        <v>500000</v>
      </c>
      <c r="AK6" s="25" t="n">
        <v>5000000</v>
      </c>
    </row>
    <row r="7" customFormat="false" ht="27.75" hidden="false" customHeight="true" outlineLevel="0" collapsed="false">
      <c r="A7" s="4" t="s">
        <v>246</v>
      </c>
      <c r="B7" s="4" t="s">
        <v>220</v>
      </c>
      <c r="C7" s="4" t="s">
        <v>247</v>
      </c>
      <c r="D7" s="4" t="s">
        <v>248</v>
      </c>
      <c r="E7" s="4" t="s">
        <v>66</v>
      </c>
      <c r="F7" s="4" t="s">
        <v>249</v>
      </c>
      <c r="G7" s="4" t="n">
        <v>2</v>
      </c>
      <c r="H7" s="4" t="n">
        <v>8</v>
      </c>
      <c r="I7" s="13" t="n">
        <f aca="false">IFERROR(INDEX('VSL and Injuries'!$G$21:$G$24,MATCH($AE7,'VSL and Injuries'!$A$21:$A$24,0)),"")</f>
        <v>0.10233</v>
      </c>
      <c r="J7" s="10" t="n">
        <f aca="false">AI7*'VSL and Injuries'!$K$6</f>
        <v>517500</v>
      </c>
      <c r="K7" s="10" t="n">
        <f aca="false">G7*'VSL and Injuries'!$B$4+H7*'VSL and Injuries'!$B$4*I7</f>
        <v>40024688</v>
      </c>
      <c r="L7" s="10" t="n">
        <f aca="false">J7+K7</f>
        <v>40542188</v>
      </c>
      <c r="M7" s="4" t="n">
        <v>10</v>
      </c>
      <c r="N7" s="4" t="n">
        <v>45</v>
      </c>
      <c r="O7" s="13" t="n">
        <f aca="false">IFERROR(INDEX('VSL and Injuries'!$G$21:$G$24,MATCH($AE7,'VSL and Injuries'!$A$21:$A$24,0)),"")</f>
        <v>0.10233</v>
      </c>
      <c r="P7" s="10" t="n">
        <f aca="false">AJ7*'VSL and Injuries'!$K$6</f>
        <v>5175000</v>
      </c>
      <c r="Q7" s="10" t="n">
        <f aca="false">M7*'VSL and Injuries'!$B$4+N7*'VSL and Injuries'!$B$4*O7</f>
        <v>207388870</v>
      </c>
      <c r="R7" s="10" t="n">
        <f aca="false">P7+Q7</f>
        <v>212563870</v>
      </c>
      <c r="S7" s="4" t="n">
        <v>50</v>
      </c>
      <c r="T7" s="4" t="n">
        <v>200</v>
      </c>
      <c r="U7" s="13" t="n">
        <f aca="false">IFERROR(INDEX('VSL and Injuries'!$G$21:$G$24,MATCH($AE7,'VSL and Injuries'!$A$21:$A$24,0)),"")</f>
        <v>0.10233</v>
      </c>
      <c r="V7" s="10" t="n">
        <f aca="false">AK7*'VSL and Injuries'!$K$6</f>
        <v>51750000</v>
      </c>
      <c r="W7" s="10" t="n">
        <f aca="false">S7*'VSL and Injuries'!$B$4+T7*'VSL and Injuries'!$B$4*U7</f>
        <v>1000617200</v>
      </c>
      <c r="X7" s="10" t="n">
        <f aca="false">V7+W7</f>
        <v>1052367200</v>
      </c>
      <c r="Y7" s="4" t="s">
        <v>250</v>
      </c>
      <c r="Z7" s="4" t="s">
        <v>251</v>
      </c>
      <c r="AA7" s="4" t="s">
        <v>252</v>
      </c>
      <c r="AB7" s="7" t="s">
        <v>228</v>
      </c>
      <c r="AC7" s="23" t="s">
        <v>229</v>
      </c>
      <c r="AD7" s="23" t="s">
        <v>230</v>
      </c>
      <c r="AE7" s="23" t="s">
        <v>89</v>
      </c>
      <c r="AF7" s="24" t="n">
        <v>0.025</v>
      </c>
      <c r="AG7" s="24" t="n">
        <v>0.05</v>
      </c>
      <c r="AH7" s="24" t="n">
        <v>0.1</v>
      </c>
      <c r="AI7" s="25" t="n">
        <v>500000</v>
      </c>
      <c r="AJ7" s="25" t="n">
        <v>5000000</v>
      </c>
      <c r="AK7" s="25" t="n">
        <v>50000000</v>
      </c>
    </row>
    <row r="8" customFormat="false" ht="41.25" hidden="false" customHeight="true" outlineLevel="0" collapsed="false">
      <c r="A8" s="4" t="s">
        <v>253</v>
      </c>
      <c r="B8" s="4" t="s">
        <v>220</v>
      </c>
      <c r="C8" s="4" t="s">
        <v>254</v>
      </c>
      <c r="D8" s="4" t="s">
        <v>255</v>
      </c>
      <c r="E8" s="4" t="s">
        <v>234</v>
      </c>
      <c r="F8" s="4" t="s">
        <v>256</v>
      </c>
      <c r="G8" s="4" t="n">
        <v>0</v>
      </c>
      <c r="H8" s="4" t="n">
        <v>3</v>
      </c>
      <c r="I8" s="13" t="n">
        <f aca="false">IFERROR(INDEX('VSL and Injuries'!$G$21:$G$24,MATCH($AE8,'VSL and Injuries'!$A$21:$A$24,0)),"")</f>
        <v>0.10233</v>
      </c>
      <c r="J8" s="10" t="n">
        <f aca="false">AI8*'VSL and Injuries'!$K$6</f>
        <v>2070000</v>
      </c>
      <c r="K8" s="10" t="n">
        <f aca="false">G8*'VSL and Injuries'!$B$4+H8*'VSL and Injuries'!$B$4*I8</f>
        <v>4359258</v>
      </c>
      <c r="L8" s="10" t="n">
        <f aca="false">K8+J8</f>
        <v>6429258</v>
      </c>
      <c r="M8" s="4" t="n">
        <v>2</v>
      </c>
      <c r="N8" s="4" t="n">
        <v>15</v>
      </c>
      <c r="O8" s="13" t="n">
        <f aca="false">IFERROR(INDEX('VSL and Injuries'!$G$21:$G$24,MATCH($AE8,'VSL and Injuries'!$A$21:$A$24,0)),"")</f>
        <v>0.10233</v>
      </c>
      <c r="P8" s="10" t="n">
        <f aca="false">AJ8*'VSL and Injuries'!$K$6</f>
        <v>20700000</v>
      </c>
      <c r="Q8" s="10" t="n">
        <f aca="false">M8*'VSL and Injuries'!$B$4+N8*'VSL and Injuries'!$B$4*O8</f>
        <v>50196290</v>
      </c>
      <c r="R8" s="10" t="n">
        <f aca="false">Q8+P8</f>
        <v>70896290</v>
      </c>
      <c r="S8" s="4" t="n">
        <v>12</v>
      </c>
      <c r="T8" s="4" t="n">
        <v>60</v>
      </c>
      <c r="U8" s="13" t="n">
        <f aca="false">IFERROR(INDEX('VSL and Injuries'!$G$21:$G$24,MATCH($AE8,'VSL and Injuries'!$A$21:$A$24,0)),"")</f>
        <v>0.10233</v>
      </c>
      <c r="V8" s="10" t="n">
        <f aca="false">AK8*'VSL and Injuries'!$K$6</f>
        <v>155250000</v>
      </c>
      <c r="W8" s="10" t="n">
        <f aca="false">S8*'VSL and Injuries'!$B$4+T8*'VSL and Injuries'!$B$4*U8</f>
        <v>257585160</v>
      </c>
      <c r="X8" s="10" t="n">
        <f aca="false">W8+V8</f>
        <v>412835160</v>
      </c>
      <c r="Y8" s="4" t="s">
        <v>257</v>
      </c>
      <c r="Z8" s="14" t="s">
        <v>258</v>
      </c>
      <c r="AA8" s="14" t="s">
        <v>259</v>
      </c>
      <c r="AB8" s="7" t="s">
        <v>228</v>
      </c>
      <c r="AC8" s="23" t="s">
        <v>229</v>
      </c>
      <c r="AD8" s="23" t="s">
        <v>260</v>
      </c>
      <c r="AE8" s="23" t="s">
        <v>89</v>
      </c>
      <c r="AF8" s="24" t="n">
        <v>0.025</v>
      </c>
      <c r="AG8" s="24" t="n">
        <v>0.06</v>
      </c>
      <c r="AH8" s="24" t="n">
        <v>0.12</v>
      </c>
      <c r="AI8" s="25" t="n">
        <v>2000000</v>
      </c>
      <c r="AJ8" s="25" t="n">
        <v>20000000</v>
      </c>
      <c r="AK8" s="25" t="n">
        <v>150000000</v>
      </c>
    </row>
    <row r="9" customFormat="false" ht="27.75" hidden="false" customHeight="true" outlineLevel="0" collapsed="false">
      <c r="A9" s="4" t="s">
        <v>261</v>
      </c>
      <c r="B9" s="4" t="s">
        <v>220</v>
      </c>
      <c r="C9" s="4" t="s">
        <v>262</v>
      </c>
      <c r="D9" s="4" t="s">
        <v>255</v>
      </c>
      <c r="E9" s="4" t="s">
        <v>223</v>
      </c>
      <c r="F9" s="4" t="s">
        <v>263</v>
      </c>
      <c r="G9" s="4" t="n">
        <v>0</v>
      </c>
      <c r="H9" s="4" t="n">
        <v>1</v>
      </c>
      <c r="I9" s="13" t="n">
        <f aca="false">IFERROR(INDEX('VSL and Injuries'!$G$21:$G$24,MATCH($AE9,'VSL and Injuries'!$A$21:$A$24,0)),"")</f>
        <v>0.10233</v>
      </c>
      <c r="J9" s="10" t="n">
        <f aca="false">AI9*'VSL and Injuries'!$K$6</f>
        <v>5175000</v>
      </c>
      <c r="K9" s="10" t="n">
        <f aca="false">G9*'VSL and Injuries'!$B$4+H9*'VSL and Injuries'!$B$4*I9</f>
        <v>1453086</v>
      </c>
      <c r="L9" s="10" t="n">
        <f aca="false">K9+J9</f>
        <v>6628086</v>
      </c>
      <c r="M9" s="4" t="n">
        <v>1</v>
      </c>
      <c r="N9" s="4" t="n">
        <v>4</v>
      </c>
      <c r="O9" s="13" t="n">
        <f aca="false">IFERROR(INDEX('VSL and Injuries'!$G$21:$G$24,MATCH($AE9,'VSL and Injuries'!$A$21:$A$24,0)),"")</f>
        <v>0.10233</v>
      </c>
      <c r="P9" s="10" t="n">
        <f aca="false">AJ9*'VSL and Injuries'!$K$6</f>
        <v>25875000</v>
      </c>
      <c r="Q9" s="10" t="n">
        <f aca="false">M9*'VSL and Injuries'!$B$4+N9*'VSL and Injuries'!$B$4*O9</f>
        <v>20012344</v>
      </c>
      <c r="R9" s="10" t="n">
        <f aca="false">Q9+P9</f>
        <v>45887344</v>
      </c>
      <c r="S9" s="4" t="n">
        <v>6</v>
      </c>
      <c r="T9" s="4" t="n">
        <v>15</v>
      </c>
      <c r="U9" s="13" t="n">
        <f aca="false">IFERROR(INDEX('VSL and Injuries'!$G$21:$G$24,MATCH($AE9,'VSL and Injuries'!$A$21:$A$24,0)),"")</f>
        <v>0.10233</v>
      </c>
      <c r="V9" s="10" t="n">
        <f aca="false">AK9*'VSL and Injuries'!$K$6</f>
        <v>124200000</v>
      </c>
      <c r="W9" s="10" t="n">
        <f aca="false">S9*'VSL and Injuries'!$B$4+T9*'VSL and Injuries'!$B$4*U9</f>
        <v>106996290</v>
      </c>
      <c r="X9" s="10" t="n">
        <f aca="false">W9+V9</f>
        <v>231196290</v>
      </c>
      <c r="Y9" s="4" t="s">
        <v>264</v>
      </c>
      <c r="Z9" s="14" t="s">
        <v>265</v>
      </c>
      <c r="AA9" s="14" t="s">
        <v>266</v>
      </c>
      <c r="AB9" s="7" t="s">
        <v>228</v>
      </c>
      <c r="AC9" s="23" t="s">
        <v>229</v>
      </c>
      <c r="AD9" s="23" t="s">
        <v>267</v>
      </c>
      <c r="AE9" s="23" t="s">
        <v>89</v>
      </c>
      <c r="AF9" s="24" t="n">
        <v>0.02</v>
      </c>
      <c r="AG9" s="24" t="n">
        <v>0.05</v>
      </c>
      <c r="AH9" s="24" t="n">
        <v>0.1</v>
      </c>
      <c r="AI9" s="25" t="n">
        <v>5000000</v>
      </c>
      <c r="AJ9" s="25" t="n">
        <v>25000000</v>
      </c>
      <c r="AK9" s="25" t="n">
        <v>120000000</v>
      </c>
    </row>
    <row r="10" customFormat="false" ht="27.75" hidden="false" customHeight="true" outlineLevel="0" collapsed="false">
      <c r="A10" s="4" t="s">
        <v>268</v>
      </c>
      <c r="B10" s="4" t="s">
        <v>220</v>
      </c>
      <c r="C10" s="4" t="s">
        <v>269</v>
      </c>
      <c r="D10" s="4" t="s">
        <v>270</v>
      </c>
      <c r="E10" s="4" t="s">
        <v>223</v>
      </c>
      <c r="F10" s="4" t="s">
        <v>271</v>
      </c>
      <c r="G10" s="4" t="n">
        <v>0</v>
      </c>
      <c r="H10" s="4" t="n">
        <v>2</v>
      </c>
      <c r="I10" s="13" t="n">
        <f aca="false">IFERROR(INDEX('VSL and Injuries'!$G$21:$G$24,MATCH($AE10,'VSL and Injuries'!$A$21:$A$24,0)),"")</f>
        <v>0.10233</v>
      </c>
      <c r="J10" s="10" t="n">
        <f aca="false">AI10*'VSL and Injuries'!$K$6</f>
        <v>2070000</v>
      </c>
      <c r="K10" s="10" t="n">
        <f aca="false">G10*'VSL and Injuries'!$B$4+H10*'VSL and Injuries'!$B$4*I10</f>
        <v>2906172</v>
      </c>
      <c r="L10" s="10" t="n">
        <f aca="false">J10+K10</f>
        <v>4976172</v>
      </c>
      <c r="M10" s="4" t="n">
        <v>10</v>
      </c>
      <c r="N10" s="4" t="n">
        <v>25</v>
      </c>
      <c r="O10" s="13" t="n">
        <f aca="false">IFERROR(INDEX('VSL and Injuries'!$G$21:$G$24,MATCH($AE10,'VSL and Injuries'!$A$21:$A$24,0)),"")</f>
        <v>0.10233</v>
      </c>
      <c r="P10" s="10" t="n">
        <f aca="false">AJ10*'VSL and Injuries'!$K$6</f>
        <v>31050000</v>
      </c>
      <c r="Q10" s="10" t="n">
        <f aca="false">M10*'VSL and Injuries'!$B$4+N10*'VSL and Injuries'!$B$4*O10</f>
        <v>178327150</v>
      </c>
      <c r="R10" s="10" t="n">
        <f aca="false">P10+Q10</f>
        <v>209377150</v>
      </c>
      <c r="S10" s="4" t="n">
        <v>100</v>
      </c>
      <c r="T10" s="4" t="n">
        <v>125</v>
      </c>
      <c r="U10" s="13" t="n">
        <f aca="false">IFERROR(INDEX('VSL and Injuries'!$G$21:$G$24,MATCH($AE10,'VSL and Injuries'!$A$21:$A$24,0)),"")</f>
        <v>0.10233</v>
      </c>
      <c r="V10" s="10" t="n">
        <f aca="false">AK10*'VSL and Injuries'!$K$6</f>
        <v>207000000</v>
      </c>
      <c r="W10" s="10" t="n">
        <f aca="false">S10*'VSL and Injuries'!$B$4+T10*'VSL and Injuries'!$B$4*U10</f>
        <v>1601635750</v>
      </c>
      <c r="X10" s="10" t="n">
        <f aca="false">V10+W10</f>
        <v>1808635750</v>
      </c>
      <c r="Y10" s="4" t="s">
        <v>272</v>
      </c>
      <c r="Z10" s="4" t="s">
        <v>273</v>
      </c>
      <c r="AA10" s="4" t="s">
        <v>274</v>
      </c>
      <c r="AB10" s="7" t="s">
        <v>228</v>
      </c>
      <c r="AC10" s="23" t="s">
        <v>229</v>
      </c>
      <c r="AD10" s="23" t="s">
        <v>230</v>
      </c>
      <c r="AE10" s="23" t="s">
        <v>89</v>
      </c>
      <c r="AF10" s="24" t="n">
        <v>0.02</v>
      </c>
      <c r="AG10" s="24" t="n">
        <v>0.05</v>
      </c>
      <c r="AH10" s="24" t="n">
        <v>0.1</v>
      </c>
      <c r="AI10" s="25" t="n">
        <v>2000000</v>
      </c>
      <c r="AJ10" s="25" t="n">
        <v>30000000</v>
      </c>
      <c r="AK10" s="25" t="n">
        <v>200000000</v>
      </c>
    </row>
    <row r="11" customFormat="false" ht="27.75" hidden="false" customHeight="true" outlineLevel="0" collapsed="false">
      <c r="A11" s="4" t="s">
        <v>275</v>
      </c>
      <c r="B11" s="4" t="s">
        <v>220</v>
      </c>
      <c r="C11" s="4" t="s">
        <v>276</v>
      </c>
      <c r="D11" s="4" t="s">
        <v>277</v>
      </c>
      <c r="E11" s="4" t="s">
        <v>234</v>
      </c>
      <c r="F11" s="4" t="s">
        <v>278</v>
      </c>
      <c r="G11" s="4" t="n">
        <v>0</v>
      </c>
      <c r="H11" s="4" t="n">
        <v>5</v>
      </c>
      <c r="I11" s="13" t="n">
        <f aca="false">IFERROR(INDEX('VSL and Injuries'!$G$21:$G$24,MATCH($AE11,'VSL and Injuries'!$A$21:$A$24,0)),"")</f>
        <v>0.16094</v>
      </c>
      <c r="J11" s="10" t="n">
        <f aca="false">AI11*'VSL and Injuries'!$K$6</f>
        <v>1035000</v>
      </c>
      <c r="K11" s="10" t="n">
        <f aca="false">G11*'VSL and Injuries'!$B$4+H11*'VSL and Injuries'!$B$4*I11</f>
        <v>11426740</v>
      </c>
      <c r="L11" s="10" t="n">
        <f aca="false">J11+K11</f>
        <v>12461740</v>
      </c>
      <c r="M11" s="4" t="n">
        <v>8</v>
      </c>
      <c r="N11" s="4" t="n">
        <v>40</v>
      </c>
      <c r="O11" s="13" t="n">
        <f aca="false">IFERROR(INDEX('VSL and Injuries'!$G$21:$G$24,MATCH($AE11,'VSL and Injuries'!$A$21:$A$24,0)),"")</f>
        <v>0.16094</v>
      </c>
      <c r="P11" s="10" t="n">
        <f aca="false">AJ11*'VSL and Injuries'!$K$6</f>
        <v>25875000</v>
      </c>
      <c r="Q11" s="10" t="n">
        <f aca="false">M11*'VSL and Injuries'!$B$4+N11*'VSL and Injuries'!$B$4*O11</f>
        <v>205013920</v>
      </c>
      <c r="R11" s="10" t="n">
        <f aca="false">P11+Q11</f>
        <v>230888920</v>
      </c>
      <c r="S11" s="4" t="n">
        <v>120</v>
      </c>
      <c r="T11" s="4" t="n">
        <v>180</v>
      </c>
      <c r="U11" s="13" t="n">
        <f aca="false">IFERROR(INDEX('VSL and Injuries'!$G$21:$G$24,MATCH($AE11,'VSL and Injuries'!$A$21:$A$24,0)),"")</f>
        <v>0.16094</v>
      </c>
      <c r="V11" s="10" t="n">
        <f aca="false">AK11*'VSL and Injuries'!$K$6</f>
        <v>155250000</v>
      </c>
      <c r="W11" s="10" t="n">
        <f aca="false">S11*'VSL and Injuries'!$B$4+T11*'VSL and Injuries'!$B$4*U11</f>
        <v>2115362640</v>
      </c>
      <c r="X11" s="10" t="n">
        <f aca="false">V11+W11</f>
        <v>2270612640</v>
      </c>
      <c r="Y11" s="4" t="s">
        <v>279</v>
      </c>
      <c r="Z11" s="4" t="s">
        <v>280</v>
      </c>
      <c r="AA11" s="4" t="s">
        <v>281</v>
      </c>
      <c r="AB11" s="7" t="s">
        <v>228</v>
      </c>
      <c r="AC11" s="23" t="s">
        <v>229</v>
      </c>
      <c r="AD11" s="23" t="s">
        <v>230</v>
      </c>
      <c r="AE11" s="23" t="s">
        <v>91</v>
      </c>
      <c r="AF11" s="24" t="n">
        <v>0.03</v>
      </c>
      <c r="AG11" s="24" t="n">
        <v>0.08</v>
      </c>
      <c r="AH11" s="24" t="n">
        <v>0.15</v>
      </c>
      <c r="AI11" s="25" t="n">
        <v>1000000</v>
      </c>
      <c r="AJ11" s="25" t="n">
        <v>25000000</v>
      </c>
      <c r="AK11" s="25" t="n">
        <v>150000000</v>
      </c>
    </row>
    <row r="12" customFormat="false" ht="27.75" hidden="false" customHeight="true" outlineLevel="0" collapsed="false">
      <c r="A12" s="4" t="s">
        <v>282</v>
      </c>
      <c r="B12" s="4" t="s">
        <v>220</v>
      </c>
      <c r="C12" s="4" t="s">
        <v>283</v>
      </c>
      <c r="D12" s="4" t="s">
        <v>284</v>
      </c>
      <c r="E12" s="4" t="s">
        <v>223</v>
      </c>
      <c r="F12" s="4" t="s">
        <v>285</v>
      </c>
      <c r="G12" s="4" t="n">
        <v>0</v>
      </c>
      <c r="H12" s="4" t="n">
        <v>1</v>
      </c>
      <c r="I12" s="13" t="n">
        <f aca="false">IFERROR(INDEX('VSL and Injuries'!$G$21:$G$24,MATCH($AE12,'VSL and Injuries'!$A$21:$A$24,0)),"")</f>
        <v>0.16094</v>
      </c>
      <c r="J12" s="10" t="n">
        <f aca="false">AI12*'VSL and Injuries'!$K$6</f>
        <v>5175000</v>
      </c>
      <c r="K12" s="10" t="n">
        <f aca="false">G12*'VSL and Injuries'!$B$4+H12*'VSL and Injuries'!$B$4*I12</f>
        <v>2285348</v>
      </c>
      <c r="L12" s="10" t="n">
        <f aca="false">J12+K12</f>
        <v>7460348</v>
      </c>
      <c r="M12" s="4" t="n">
        <v>2</v>
      </c>
      <c r="N12" s="4" t="n">
        <v>8</v>
      </c>
      <c r="O12" s="13" t="n">
        <f aca="false">IFERROR(INDEX('VSL and Injuries'!$G$21:$G$24,MATCH($AE12,'VSL and Injuries'!$A$21:$A$24,0)),"")</f>
        <v>0.16094</v>
      </c>
      <c r="P12" s="10" t="n">
        <f aca="false">AJ12*'VSL and Injuries'!$K$6</f>
        <v>36225000</v>
      </c>
      <c r="Q12" s="10" t="n">
        <f aca="false">M12*'VSL and Injuries'!$B$4+N12*'VSL and Injuries'!$B$4*O12</f>
        <v>46682784</v>
      </c>
      <c r="R12" s="10" t="n">
        <f aca="false">P12+Q12</f>
        <v>82907784</v>
      </c>
      <c r="S12" s="4" t="n">
        <v>25</v>
      </c>
      <c r="T12" s="4" t="n">
        <v>50</v>
      </c>
      <c r="U12" s="13" t="n">
        <f aca="false">IFERROR(INDEX('VSL and Injuries'!$G$21:$G$24,MATCH($AE12,'VSL and Injuries'!$A$21:$A$24,0)),"")</f>
        <v>0.16094</v>
      </c>
      <c r="V12" s="10" t="n">
        <f aca="false">AK12*'VSL and Injuries'!$K$6</f>
        <v>207000000</v>
      </c>
      <c r="W12" s="10" t="n">
        <f aca="false">S12*'VSL and Injuries'!$B$4+T12*'VSL and Injuries'!$B$4*U12</f>
        <v>469267400</v>
      </c>
      <c r="X12" s="10" t="n">
        <f aca="false">V12+W12</f>
        <v>676267400</v>
      </c>
      <c r="Y12" s="4" t="s">
        <v>286</v>
      </c>
      <c r="Z12" s="4" t="s">
        <v>287</v>
      </c>
      <c r="AA12" s="4" t="s">
        <v>288</v>
      </c>
      <c r="AB12" s="7" t="s">
        <v>228</v>
      </c>
      <c r="AC12" s="23" t="s">
        <v>229</v>
      </c>
      <c r="AD12" s="23" t="s">
        <v>230</v>
      </c>
      <c r="AE12" s="23" t="s">
        <v>91</v>
      </c>
      <c r="AF12" s="24" t="n">
        <v>0.025</v>
      </c>
      <c r="AG12" s="24" t="n">
        <v>0.07</v>
      </c>
      <c r="AH12" s="24" t="n">
        <v>0.14</v>
      </c>
      <c r="AI12" s="25" t="n">
        <v>5000000</v>
      </c>
      <c r="AJ12" s="25" t="n">
        <v>35000000</v>
      </c>
      <c r="AK12" s="25" t="n">
        <v>200000000</v>
      </c>
    </row>
    <row r="13" customFormat="false" ht="27.75" hidden="false" customHeight="true" outlineLevel="0" collapsed="false">
      <c r="A13" s="4" t="s">
        <v>289</v>
      </c>
      <c r="B13" s="4" t="s">
        <v>220</v>
      </c>
      <c r="C13" s="4" t="s">
        <v>290</v>
      </c>
      <c r="D13" s="4" t="s">
        <v>291</v>
      </c>
      <c r="E13" s="4" t="s">
        <v>223</v>
      </c>
      <c r="F13" s="4" t="s">
        <v>292</v>
      </c>
      <c r="G13" s="4" t="n">
        <v>0</v>
      </c>
      <c r="H13" s="4" t="n">
        <v>10</v>
      </c>
      <c r="I13" s="13" t="n">
        <f aca="false">IFERROR(INDEX('VSL and Injuries'!$G$21:$G$24,MATCH($AE13,'VSL and Injuries'!$A$21:$A$24,0)),"")</f>
        <v>0.13141</v>
      </c>
      <c r="J13" s="10" t="n">
        <f aca="false">AI13*'VSL and Injuries'!$K$6</f>
        <v>1035000</v>
      </c>
      <c r="K13" s="10" t="n">
        <f aca="false">G13*'VSL and Injuries'!$B$4+H13*'VSL and Injuries'!$B$4*I13</f>
        <v>18660220</v>
      </c>
      <c r="L13" s="10" t="n">
        <f aca="false">J13+K13</f>
        <v>19695220</v>
      </c>
      <c r="M13" s="4" t="n">
        <v>5</v>
      </c>
      <c r="N13" s="4" t="n">
        <v>100</v>
      </c>
      <c r="O13" s="13" t="n">
        <f aca="false">IFERROR(INDEX('VSL and Injuries'!$G$21:$G$24,MATCH($AE13,'VSL and Injuries'!$A$21:$A$24,0)),"")</f>
        <v>0.13141</v>
      </c>
      <c r="P13" s="10" t="n">
        <f aca="false">AJ13*'VSL and Injuries'!$K$6</f>
        <v>10350000</v>
      </c>
      <c r="Q13" s="10" t="n">
        <f aca="false">M13*'VSL and Injuries'!$B$4+N13*'VSL and Injuries'!$B$4*O13</f>
        <v>257602200</v>
      </c>
      <c r="R13" s="10" t="n">
        <f aca="false">P13+Q13</f>
        <v>267952200</v>
      </c>
      <c r="S13" s="4" t="n">
        <v>75</v>
      </c>
      <c r="T13" s="4" t="n">
        <v>300</v>
      </c>
      <c r="U13" s="13" t="n">
        <f aca="false">IFERROR(INDEX('VSL and Injuries'!$G$21:$G$24,MATCH($AE13,'VSL and Injuries'!$A$21:$A$24,0)),"")</f>
        <v>0.13141</v>
      </c>
      <c r="V13" s="10" t="n">
        <f aca="false">AK13*'VSL and Injuries'!$K$6</f>
        <v>77625000</v>
      </c>
      <c r="W13" s="10" t="n">
        <f aca="false">S13*'VSL and Injuries'!$B$4+T13*'VSL and Injuries'!$B$4*U13</f>
        <v>1624806600</v>
      </c>
      <c r="X13" s="10" t="n">
        <f aca="false">V13+W13</f>
        <v>1702431600</v>
      </c>
      <c r="Y13" s="4" t="s">
        <v>293</v>
      </c>
      <c r="Z13" s="4" t="s">
        <v>294</v>
      </c>
      <c r="AA13" s="4" t="s">
        <v>295</v>
      </c>
      <c r="AB13" s="7" t="s">
        <v>228</v>
      </c>
      <c r="AC13" s="23" t="s">
        <v>229</v>
      </c>
      <c r="AD13" s="23" t="s">
        <v>230</v>
      </c>
      <c r="AE13" s="23" t="s">
        <v>93</v>
      </c>
      <c r="AF13" s="24" t="n">
        <v>0.03</v>
      </c>
      <c r="AG13" s="24" t="n">
        <v>0.08</v>
      </c>
      <c r="AH13" s="24" t="n">
        <v>0.18</v>
      </c>
      <c r="AI13" s="25" t="n">
        <v>1000000</v>
      </c>
      <c r="AJ13" s="25" t="n">
        <v>10000000</v>
      </c>
      <c r="AK13" s="25" t="n">
        <v>75000000</v>
      </c>
    </row>
    <row r="14" customFormat="false" ht="27.75" hidden="false" customHeight="true" outlineLevel="0" collapsed="false">
      <c r="A14" s="4" t="s">
        <v>296</v>
      </c>
      <c r="B14" s="4" t="s">
        <v>220</v>
      </c>
      <c r="C14" s="4" t="s">
        <v>297</v>
      </c>
      <c r="D14" s="4" t="s">
        <v>298</v>
      </c>
      <c r="E14" s="4" t="s">
        <v>223</v>
      </c>
      <c r="F14" s="4" t="s">
        <v>299</v>
      </c>
      <c r="G14" s="4" t="n">
        <v>0</v>
      </c>
      <c r="H14" s="4" t="n">
        <v>25</v>
      </c>
      <c r="I14" s="13" t="n">
        <f aca="false">IFERROR(INDEX('VSL and Injuries'!$G$21:$G$24,MATCH($AE14,'VSL and Injuries'!$A$21:$A$24,0)),"")</f>
        <v>0.13141</v>
      </c>
      <c r="J14" s="10" t="n">
        <f aca="false">AI14*'VSL and Injuries'!$K$6</f>
        <v>2070000</v>
      </c>
      <c r="K14" s="10" t="n">
        <f aca="false">G14*'VSL and Injuries'!$B$4+H14*'VSL and Injuries'!$B$4*I14</f>
        <v>46650550</v>
      </c>
      <c r="L14" s="10" t="n">
        <f aca="false">J14+K14</f>
        <v>48720550</v>
      </c>
      <c r="M14" s="4" t="n">
        <v>15</v>
      </c>
      <c r="N14" s="4" t="n">
        <v>300</v>
      </c>
      <c r="O14" s="13" t="n">
        <f aca="false">IFERROR(INDEX('VSL and Injuries'!$G$21:$G$24,MATCH($AE14,'VSL and Injuries'!$A$21:$A$24,0)),"")</f>
        <v>0.13141</v>
      </c>
      <c r="P14" s="10" t="n">
        <f aca="false">AJ14*'VSL and Injuries'!$K$6</f>
        <v>31050000</v>
      </c>
      <c r="Q14" s="10" t="n">
        <f aca="false">M14*'VSL and Injuries'!$B$4+N14*'VSL and Injuries'!$B$4*O14</f>
        <v>772806600</v>
      </c>
      <c r="R14" s="10" t="n">
        <f aca="false">P14+Q14</f>
        <v>803856600</v>
      </c>
      <c r="S14" s="4" t="n">
        <v>150</v>
      </c>
      <c r="T14" s="4" t="n">
        <v>1500</v>
      </c>
      <c r="U14" s="13" t="n">
        <f aca="false">IFERROR(INDEX('VSL and Injuries'!$G$21:$G$24,MATCH($AE14,'VSL and Injuries'!$A$21:$A$24,0)),"")</f>
        <v>0.13141</v>
      </c>
      <c r="V14" s="10" t="n">
        <f aca="false">AK14*'VSL and Injuries'!$K$6</f>
        <v>258750000</v>
      </c>
      <c r="W14" s="10" t="n">
        <f aca="false">S14*'VSL and Injuries'!$B$4+T14*'VSL and Injuries'!$B$4*U14</f>
        <v>4929033000</v>
      </c>
      <c r="X14" s="10" t="n">
        <f aca="false">V14+W14</f>
        <v>5187783000</v>
      </c>
      <c r="Y14" s="4" t="s">
        <v>293</v>
      </c>
      <c r="Z14" s="4" t="s">
        <v>300</v>
      </c>
      <c r="AA14" s="4" t="s">
        <v>301</v>
      </c>
      <c r="AB14" s="7" t="s">
        <v>228</v>
      </c>
      <c r="AC14" s="23" t="s">
        <v>229</v>
      </c>
      <c r="AD14" s="23" t="s">
        <v>230</v>
      </c>
      <c r="AE14" s="23" t="s">
        <v>93</v>
      </c>
      <c r="AF14" s="24" t="n">
        <v>0.025</v>
      </c>
      <c r="AG14" s="24" t="n">
        <v>0.07</v>
      </c>
      <c r="AH14" s="24" t="n">
        <v>0.16</v>
      </c>
      <c r="AI14" s="25" t="n">
        <v>2000000</v>
      </c>
      <c r="AJ14" s="25" t="n">
        <v>30000000</v>
      </c>
      <c r="AK14" s="25" t="n">
        <v>250000000</v>
      </c>
    </row>
    <row r="15" customFormat="false" ht="41.25" hidden="false" customHeight="true" outlineLevel="0" collapsed="false">
      <c r="A15" s="4" t="s">
        <v>302</v>
      </c>
      <c r="B15" s="4" t="s">
        <v>303</v>
      </c>
      <c r="C15" s="4" t="s">
        <v>304</v>
      </c>
      <c r="D15" s="4" t="s">
        <v>305</v>
      </c>
      <c r="E15" s="4" t="s">
        <v>66</v>
      </c>
      <c r="F15" s="4" t="s">
        <v>306</v>
      </c>
      <c r="G15" s="4" t="n">
        <v>1</v>
      </c>
      <c r="H15" s="4" t="n">
        <v>5</v>
      </c>
      <c r="I15" s="13" t="n">
        <f aca="false">IFERROR(INDEX('VSL and Injuries'!$G$21:$G$24,MATCH($AE15,'VSL and Injuries'!$A$21:$A$24,0)),"")</f>
        <v>0.10233</v>
      </c>
      <c r="J15" s="10" t="n">
        <f aca="false">AI15*'VSL and Injuries'!$K$6</f>
        <v>517500</v>
      </c>
      <c r="K15" s="10" t="n">
        <f aca="false">G15*'VSL and Injuries'!$B$4+H15*'VSL and Injuries'!$B$4*I15</f>
        <v>21465430</v>
      </c>
      <c r="L15" s="10" t="n">
        <f aca="false">J15+K15</f>
        <v>21982930</v>
      </c>
      <c r="M15" s="4" t="n">
        <v>10</v>
      </c>
      <c r="N15" s="4" t="n">
        <v>50</v>
      </c>
      <c r="O15" s="13" t="n">
        <f aca="false">IFERROR(INDEX('VSL and Injuries'!$G$21:$G$24,MATCH($AE15,'VSL and Injuries'!$A$21:$A$24,0)),"")</f>
        <v>0.10233</v>
      </c>
      <c r="P15" s="10" t="n">
        <f aca="false">AJ15*'VSL and Injuries'!$K$6</f>
        <v>5175000</v>
      </c>
      <c r="Q15" s="10" t="n">
        <f aca="false">M15*'VSL and Injuries'!$B$4+N15*'VSL and Injuries'!$B$4*O15</f>
        <v>214654300</v>
      </c>
      <c r="R15" s="10" t="n">
        <f aca="false">P15+Q15</f>
        <v>219829300</v>
      </c>
      <c r="S15" s="4" t="n">
        <v>60</v>
      </c>
      <c r="T15" s="4" t="n">
        <v>250</v>
      </c>
      <c r="U15" s="13" t="n">
        <f aca="false">IFERROR(INDEX('VSL and Injuries'!$G$21:$G$24,MATCH($AE15,'VSL and Injuries'!$A$21:$A$24,0)),"")</f>
        <v>0.10233</v>
      </c>
      <c r="V15" s="10" t="n">
        <f aca="false">AK15*'VSL and Injuries'!$K$6</f>
        <v>51750000</v>
      </c>
      <c r="W15" s="10" t="n">
        <f aca="false">S15*'VSL and Injuries'!$B$4+T15*'VSL and Injuries'!$B$4*U15</f>
        <v>1215271500</v>
      </c>
      <c r="X15" s="10" t="n">
        <f aca="false">V15+W15</f>
        <v>1267021500</v>
      </c>
      <c r="Y15" s="4" t="s">
        <v>307</v>
      </c>
      <c r="Z15" s="4" t="s">
        <v>308</v>
      </c>
      <c r="AA15" s="4" t="s">
        <v>309</v>
      </c>
      <c r="AB15" s="7" t="s">
        <v>310</v>
      </c>
      <c r="AC15" s="23" t="s">
        <v>311</v>
      </c>
      <c r="AD15" s="23" t="s">
        <v>230</v>
      </c>
      <c r="AE15" s="23" t="s">
        <v>89</v>
      </c>
      <c r="AF15" s="24" t="n">
        <v>0.025</v>
      </c>
      <c r="AG15" s="24" t="n">
        <v>0.05</v>
      </c>
      <c r="AH15" s="24" t="n">
        <v>0.11</v>
      </c>
      <c r="AI15" s="25" t="n">
        <v>500000</v>
      </c>
      <c r="AJ15" s="25" t="n">
        <v>5000000</v>
      </c>
      <c r="AK15" s="25" t="n">
        <v>50000000</v>
      </c>
    </row>
    <row r="16" customFormat="false" ht="41.25" hidden="false" customHeight="true" outlineLevel="0" collapsed="false">
      <c r="A16" s="4" t="s">
        <v>312</v>
      </c>
      <c r="B16" s="4" t="s">
        <v>303</v>
      </c>
      <c r="C16" s="4" t="s">
        <v>313</v>
      </c>
      <c r="D16" s="4" t="s">
        <v>314</v>
      </c>
      <c r="E16" s="4" t="s">
        <v>223</v>
      </c>
      <c r="F16" s="4" t="s">
        <v>315</v>
      </c>
      <c r="G16" s="4" t="n">
        <v>0</v>
      </c>
      <c r="H16" s="4" t="n">
        <v>2</v>
      </c>
      <c r="I16" s="13" t="n">
        <f aca="false">IFERROR(INDEX('VSL and Injuries'!$G$21:$G$24,MATCH($AE16,'VSL and Injuries'!$A$21:$A$24,0)),"")</f>
        <v>0.10233</v>
      </c>
      <c r="J16" s="10" t="n">
        <f aca="false">AI16*'VSL and Injuries'!$K$6</f>
        <v>517500</v>
      </c>
      <c r="K16" s="10" t="n">
        <f aca="false">G16*'VSL and Injuries'!$B$4+H16*'VSL and Injuries'!$B$4*I16</f>
        <v>2906172</v>
      </c>
      <c r="L16" s="10" t="n">
        <f aca="false">J16+K16</f>
        <v>3423672</v>
      </c>
      <c r="M16" s="4" t="n">
        <v>2</v>
      </c>
      <c r="N16" s="4" t="n">
        <v>10</v>
      </c>
      <c r="O16" s="13" t="n">
        <f aca="false">IFERROR(INDEX('VSL and Injuries'!$G$21:$G$24,MATCH($AE16,'VSL and Injuries'!$A$21:$A$24,0)),"")</f>
        <v>0.10233</v>
      </c>
      <c r="P16" s="10" t="n">
        <f aca="false">AJ16*'VSL and Injuries'!$K$6</f>
        <v>5175000</v>
      </c>
      <c r="Q16" s="10" t="n">
        <f aca="false">M16*'VSL and Injuries'!$B$4+N16*'VSL and Injuries'!$B$4*O16</f>
        <v>42930860</v>
      </c>
      <c r="R16" s="10" t="n">
        <f aca="false">P16+Q16</f>
        <v>48105860</v>
      </c>
      <c r="S16" s="4" t="n">
        <v>10</v>
      </c>
      <c r="T16" s="4" t="n">
        <v>40</v>
      </c>
      <c r="U16" s="13" t="n">
        <f aca="false">IFERROR(INDEX('VSL and Injuries'!$G$21:$G$24,MATCH($AE16,'VSL and Injuries'!$A$21:$A$24,0)),"")</f>
        <v>0.10233</v>
      </c>
      <c r="V16" s="10" t="n">
        <f aca="false">AK16*'VSL and Injuries'!$K$6</f>
        <v>51750000</v>
      </c>
      <c r="W16" s="10" t="n">
        <f aca="false">S16*'VSL and Injuries'!$B$4+T16*'VSL and Injuries'!$B$4*U16</f>
        <v>200123440</v>
      </c>
      <c r="X16" s="10" t="n">
        <f aca="false">V16+W16</f>
        <v>251873440</v>
      </c>
      <c r="Y16" s="4" t="s">
        <v>316</v>
      </c>
      <c r="Z16" s="4" t="s">
        <v>317</v>
      </c>
      <c r="AA16" s="4" t="s">
        <v>318</v>
      </c>
      <c r="AB16" s="7" t="s">
        <v>310</v>
      </c>
      <c r="AC16" s="23" t="s">
        <v>311</v>
      </c>
      <c r="AD16" s="23" t="s">
        <v>230</v>
      </c>
      <c r="AE16" s="23" t="s">
        <v>89</v>
      </c>
      <c r="AF16" s="24" t="n">
        <v>0.02</v>
      </c>
      <c r="AG16" s="24" t="n">
        <v>0.04</v>
      </c>
      <c r="AH16" s="24" t="n">
        <v>0.08</v>
      </c>
      <c r="AI16" s="25" t="n">
        <v>500000</v>
      </c>
      <c r="AJ16" s="25" t="n">
        <v>5000000</v>
      </c>
      <c r="AK16" s="25" t="n">
        <v>50000000</v>
      </c>
    </row>
    <row r="17" customFormat="false" ht="41.25" hidden="false" customHeight="true" outlineLevel="0" collapsed="false">
      <c r="A17" s="4" t="s">
        <v>319</v>
      </c>
      <c r="B17" s="4" t="s">
        <v>303</v>
      </c>
      <c r="C17" s="4" t="s">
        <v>320</v>
      </c>
      <c r="D17" s="4" t="s">
        <v>321</v>
      </c>
      <c r="E17" s="4" t="s">
        <v>322</v>
      </c>
      <c r="F17" s="4" t="s">
        <v>323</v>
      </c>
      <c r="G17" s="4" t="n">
        <v>1</v>
      </c>
      <c r="H17" s="4" t="n">
        <v>5</v>
      </c>
      <c r="I17" s="13" t="n">
        <f aca="false">IFERROR(INDEX('VSL and Injuries'!$G$21:$G$24,MATCH($AE17,'VSL and Injuries'!$A$21:$A$24,0)),"")</f>
        <v>0.04398</v>
      </c>
      <c r="J17" s="10" t="n">
        <f aca="false">AI17*'VSL and Injuries'!$K$6</f>
        <v>103500</v>
      </c>
      <c r="K17" s="10" t="n">
        <f aca="false">G17*'VSL and Injuries'!$B$4+H17*'VSL and Injuries'!$B$4*I17</f>
        <v>17322580</v>
      </c>
      <c r="L17" s="10" t="n">
        <f aca="false">J17+K17</f>
        <v>17426080</v>
      </c>
      <c r="M17" s="4" t="n">
        <v>8</v>
      </c>
      <c r="N17" s="4" t="n">
        <v>35</v>
      </c>
      <c r="O17" s="13" t="n">
        <f aca="false">IFERROR(INDEX('VSL and Injuries'!$G$21:$G$24,MATCH($AE17,'VSL and Injuries'!$A$21:$A$24,0)),"")</f>
        <v>0.04398</v>
      </c>
      <c r="P17" s="10" t="n">
        <f aca="false">AJ17*'VSL and Injuries'!$K$6</f>
        <v>1035000</v>
      </c>
      <c r="Q17" s="10" t="n">
        <f aca="false">M17*'VSL and Injuries'!$B$4+N17*'VSL and Injuries'!$B$4*O17</f>
        <v>135458060</v>
      </c>
      <c r="R17" s="10" t="n">
        <f aca="false">P17+Q17</f>
        <v>136493060</v>
      </c>
      <c r="S17" s="4" t="n">
        <v>40</v>
      </c>
      <c r="T17" s="4" t="n">
        <v>150</v>
      </c>
      <c r="U17" s="13" t="n">
        <f aca="false">IFERROR(INDEX('VSL and Injuries'!$G$21:$G$24,MATCH($AE17,'VSL and Injuries'!$A$21:$A$24,0)),"")</f>
        <v>0.04398</v>
      </c>
      <c r="V17" s="10" t="n">
        <f aca="false">AK17*'VSL and Injuries'!$K$6</f>
        <v>10350000</v>
      </c>
      <c r="W17" s="10" t="n">
        <f aca="false">S17*'VSL and Injuries'!$B$4+T17*'VSL and Injuries'!$B$4*U17</f>
        <v>661677400</v>
      </c>
      <c r="X17" s="10" t="n">
        <f aca="false">V17+W17</f>
        <v>672027400</v>
      </c>
      <c r="Y17" s="4" t="s">
        <v>324</v>
      </c>
      <c r="Z17" s="4" t="s">
        <v>325</v>
      </c>
      <c r="AA17" s="4" t="s">
        <v>326</v>
      </c>
      <c r="AB17" s="7" t="s">
        <v>310</v>
      </c>
      <c r="AC17" s="23" t="s">
        <v>311</v>
      </c>
      <c r="AD17" s="23" t="s">
        <v>230</v>
      </c>
      <c r="AE17" s="23" t="s">
        <v>87</v>
      </c>
      <c r="AF17" s="24" t="n">
        <v>0.03</v>
      </c>
      <c r="AG17" s="24" t="n">
        <v>0.06</v>
      </c>
      <c r="AH17" s="24" t="n">
        <v>0.12</v>
      </c>
      <c r="AI17" s="25" t="n">
        <v>100000</v>
      </c>
      <c r="AJ17" s="25" t="n">
        <v>1000000</v>
      </c>
      <c r="AK17" s="25" t="n">
        <v>10000000</v>
      </c>
    </row>
    <row r="18" customFormat="false" ht="27.75" hidden="false" customHeight="true" outlineLevel="0" collapsed="false">
      <c r="A18" s="4" t="s">
        <v>327</v>
      </c>
      <c r="B18" s="4" t="s">
        <v>303</v>
      </c>
      <c r="C18" s="4" t="s">
        <v>328</v>
      </c>
      <c r="D18" s="4" t="s">
        <v>329</v>
      </c>
      <c r="E18" s="4" t="s">
        <v>223</v>
      </c>
      <c r="F18" s="4" t="s">
        <v>330</v>
      </c>
      <c r="G18" s="4" t="n">
        <v>0</v>
      </c>
      <c r="H18" s="4" t="n">
        <v>3</v>
      </c>
      <c r="I18" s="13" t="n">
        <f aca="false">IFERROR(INDEX('VSL and Injuries'!$G$21:$G$24,MATCH($AE18,'VSL and Injuries'!$A$21:$A$24,0)),"")</f>
        <v>0.16094</v>
      </c>
      <c r="J18" s="10" t="n">
        <f aca="false">AI18*'VSL and Injuries'!$K$6</f>
        <v>258750</v>
      </c>
      <c r="K18" s="10" t="n">
        <f aca="false">G18*'VSL and Injuries'!$B$4+H18*'VSL and Injuries'!$B$4*I18</f>
        <v>6856044</v>
      </c>
      <c r="L18" s="10" t="n">
        <f aca="false">J18+K18</f>
        <v>7114794</v>
      </c>
      <c r="M18" s="4" t="n">
        <v>2</v>
      </c>
      <c r="N18" s="4" t="n">
        <v>20</v>
      </c>
      <c r="O18" s="13" t="n">
        <f aca="false">IFERROR(INDEX('VSL and Injuries'!$G$21:$G$24,MATCH($AE18,'VSL and Injuries'!$A$21:$A$24,0)),"")</f>
        <v>0.16094</v>
      </c>
      <c r="P18" s="10" t="n">
        <f aca="false">AJ18*'VSL and Injuries'!$K$6</f>
        <v>5175000</v>
      </c>
      <c r="Q18" s="10" t="n">
        <f aca="false">M18*'VSL and Injuries'!$B$4+N18*'VSL and Injuries'!$B$4*O18</f>
        <v>74106960</v>
      </c>
      <c r="R18" s="10" t="n">
        <f aca="false">P18+Q18</f>
        <v>79281960</v>
      </c>
      <c r="S18" s="4" t="n">
        <v>20</v>
      </c>
      <c r="T18" s="4" t="n">
        <v>100</v>
      </c>
      <c r="U18" s="13" t="n">
        <f aca="false">IFERROR(INDEX('VSL and Injuries'!$G$21:$G$24,MATCH($AE18,'VSL and Injuries'!$A$21:$A$24,0)),"")</f>
        <v>0.16094</v>
      </c>
      <c r="V18" s="10" t="n">
        <f aca="false">AK18*'VSL and Injuries'!$K$6</f>
        <v>51750000</v>
      </c>
      <c r="W18" s="10" t="n">
        <f aca="false">S18*'VSL and Injuries'!$B$4+T18*'VSL and Injuries'!$B$4*U18</f>
        <v>512534800</v>
      </c>
      <c r="X18" s="10" t="n">
        <f aca="false">V18+W18</f>
        <v>564284800</v>
      </c>
      <c r="Y18" s="4" t="s">
        <v>225</v>
      </c>
      <c r="Z18" s="4" t="s">
        <v>331</v>
      </c>
      <c r="AA18" s="4" t="s">
        <v>332</v>
      </c>
      <c r="AB18" s="7" t="s">
        <v>310</v>
      </c>
      <c r="AC18" s="23" t="s">
        <v>311</v>
      </c>
      <c r="AD18" s="23" t="s">
        <v>230</v>
      </c>
      <c r="AE18" s="23" t="s">
        <v>91</v>
      </c>
      <c r="AF18" s="24" t="n">
        <v>0.02</v>
      </c>
      <c r="AG18" s="24" t="n">
        <v>0.05</v>
      </c>
      <c r="AH18" s="24" t="n">
        <v>0.1</v>
      </c>
      <c r="AI18" s="25" t="n">
        <v>250000</v>
      </c>
      <c r="AJ18" s="25" t="n">
        <v>5000000</v>
      </c>
      <c r="AK18" s="25" t="n">
        <v>50000000</v>
      </c>
    </row>
    <row r="19" customFormat="false" ht="41.25" hidden="false" customHeight="true" outlineLevel="0" collapsed="false">
      <c r="A19" s="4" t="s">
        <v>333</v>
      </c>
      <c r="B19" s="4" t="s">
        <v>303</v>
      </c>
      <c r="C19" s="4" t="s">
        <v>334</v>
      </c>
      <c r="D19" s="4" t="s">
        <v>335</v>
      </c>
      <c r="E19" s="4" t="s">
        <v>223</v>
      </c>
      <c r="F19" s="4" t="s">
        <v>336</v>
      </c>
      <c r="G19" s="4" t="n">
        <v>0</v>
      </c>
      <c r="H19" s="4" t="n">
        <v>10</v>
      </c>
      <c r="I19" s="13" t="n">
        <f aca="false">IFERROR(INDEX('VSL and Injuries'!$G$21:$G$24,MATCH($AE19,'VSL and Injuries'!$A$21:$A$24,0)),"")</f>
        <v>0.13141</v>
      </c>
      <c r="J19" s="10" t="n">
        <f aca="false">AI19*'VSL and Injuries'!$K$6</f>
        <v>517500</v>
      </c>
      <c r="K19" s="10" t="n">
        <f aca="false">G19*'VSL and Injuries'!$B$4+H19*'VSL and Injuries'!$B$4*I19</f>
        <v>18660220</v>
      </c>
      <c r="L19" s="10" t="n">
        <f aca="false">J19+K19</f>
        <v>19177720</v>
      </c>
      <c r="M19" s="4" t="n">
        <v>10</v>
      </c>
      <c r="N19" s="4" t="n">
        <v>250</v>
      </c>
      <c r="O19" s="13" t="n">
        <f aca="false">IFERROR(INDEX('VSL and Injuries'!$G$21:$G$24,MATCH($AE19,'VSL and Injuries'!$A$21:$A$24,0)),"")</f>
        <v>0.13141</v>
      </c>
      <c r="P19" s="10" t="n">
        <f aca="false">AJ19*'VSL and Injuries'!$K$6</f>
        <v>15525000</v>
      </c>
      <c r="Q19" s="10" t="n">
        <f aca="false">M19*'VSL and Injuries'!$B$4+N19*'VSL and Injuries'!$B$4*O19</f>
        <v>608505500</v>
      </c>
      <c r="R19" s="10" t="n">
        <f aca="false">P19+Q19</f>
        <v>624030500</v>
      </c>
      <c r="S19" s="4" t="n">
        <v>250</v>
      </c>
      <c r="T19" s="4" t="n">
        <v>3000</v>
      </c>
      <c r="U19" s="13" t="n">
        <f aca="false">IFERROR(INDEX('VSL and Injuries'!$G$21:$G$24,MATCH($AE19,'VSL and Injuries'!$A$21:$A$24,0)),"")</f>
        <v>0.13141</v>
      </c>
      <c r="V19" s="10" t="n">
        <f aca="false">AK19*'VSL and Injuries'!$K$6</f>
        <v>103500000</v>
      </c>
      <c r="W19" s="10" t="n">
        <f aca="false">S19*'VSL and Injuries'!$B$4+T19*'VSL and Injuries'!$B$4*U19</f>
        <v>9148066000</v>
      </c>
      <c r="X19" s="10" t="n">
        <f aca="false">V19+W19</f>
        <v>9251566000</v>
      </c>
      <c r="Y19" s="4" t="s">
        <v>337</v>
      </c>
      <c r="Z19" s="4" t="s">
        <v>338</v>
      </c>
      <c r="AA19" s="4" t="s">
        <v>339</v>
      </c>
      <c r="AB19" s="7" t="s">
        <v>310</v>
      </c>
      <c r="AC19" s="23" t="s">
        <v>311</v>
      </c>
      <c r="AD19" s="23" t="s">
        <v>230</v>
      </c>
      <c r="AE19" s="23" t="s">
        <v>93</v>
      </c>
      <c r="AF19" s="24" t="n">
        <v>0.015</v>
      </c>
      <c r="AG19" s="24" t="n">
        <v>0.04</v>
      </c>
      <c r="AH19" s="24" t="n">
        <v>0.1</v>
      </c>
      <c r="AI19" s="25" t="n">
        <v>500000</v>
      </c>
      <c r="AJ19" s="25" t="n">
        <v>15000000</v>
      </c>
      <c r="AK19" s="25" t="n">
        <v>100000000</v>
      </c>
    </row>
    <row r="20" customFormat="false" ht="202.5" hidden="false" customHeight="true" outlineLevel="0" collapsed="false">
      <c r="A20" s="1" t="s">
        <v>340</v>
      </c>
      <c r="B20" s="1" t="s">
        <v>220</v>
      </c>
      <c r="C20" s="1" t="s">
        <v>341</v>
      </c>
      <c r="D20" s="1" t="s">
        <v>178</v>
      </c>
      <c r="E20" s="1" t="s">
        <v>223</v>
      </c>
      <c r="F20" s="1" t="s">
        <v>342</v>
      </c>
      <c r="G20" s="1" t="n">
        <v>100</v>
      </c>
      <c r="H20" s="1" t="n">
        <v>150</v>
      </c>
      <c r="I20" s="18" t="n">
        <f aca="false">IFERROR(INDEX('VSL and Injuries'!$G$21:$G$24,MATCH($AE20,'VSL and Injuries'!$A$21:$A$24,0)),"")</f>
        <v>0.16094</v>
      </c>
      <c r="J20" s="19" t="n">
        <f aca="false">AI20*'VSL and Injuries'!$K$6</f>
        <v>517500000</v>
      </c>
      <c r="K20" s="19" t="n">
        <f aca="false">G20*'VSL and Injuries'!$B$4+H20*'VSL and Injuries'!$B$4*I20</f>
        <v>1762802200</v>
      </c>
      <c r="L20" s="19" t="n">
        <f aca="false">K20+J20</f>
        <v>2280302200</v>
      </c>
      <c r="M20" s="1" t="n">
        <v>500</v>
      </c>
      <c r="N20" s="1" t="n">
        <v>800</v>
      </c>
      <c r="O20" s="18" t="n">
        <f aca="false">IFERROR(INDEX('VSL and Injuries'!$G$21:$G$24,MATCH($AE20,'VSL and Injuries'!$A$21:$A$24,0)),"")</f>
        <v>0.16094</v>
      </c>
      <c r="P20" s="19" t="n">
        <f aca="false">AJ20*'VSL and Injuries'!$K$6</f>
        <v>5175000000</v>
      </c>
      <c r="Q20" s="19" t="n">
        <f aca="false">M20*'VSL and Injuries'!$B$4+N20*'VSL and Injuries'!$B$4*O20</f>
        <v>8928278400</v>
      </c>
      <c r="R20" s="19" t="n">
        <f aca="false">Q20+P20</f>
        <v>14103278400</v>
      </c>
      <c r="S20" s="1" t="n">
        <v>3000</v>
      </c>
      <c r="T20" s="1" t="n">
        <v>6000</v>
      </c>
      <c r="U20" s="18" t="n">
        <f aca="false">IFERROR(INDEX('VSL and Injuries'!$G$21:$G$24,MATCH($AE20,'VSL and Injuries'!$A$21:$A$24,0)),"")</f>
        <v>0.16094</v>
      </c>
      <c r="V20" s="19" t="n">
        <f aca="false">AK20*'VSL and Injuries'!$K$6</f>
        <v>41400000000</v>
      </c>
      <c r="W20" s="19" t="n">
        <f aca="false">S20*'VSL and Injuries'!$B$4+T20*'VSL and Injuries'!$B$4*U20</f>
        <v>56312088000</v>
      </c>
      <c r="X20" s="19" t="n">
        <f aca="false">W20+V20</f>
        <v>97712088000</v>
      </c>
      <c r="Y20" s="1" t="s">
        <v>257</v>
      </c>
      <c r="Z20" s="7" t="s">
        <v>343</v>
      </c>
      <c r="AA20" s="7" t="s">
        <v>344</v>
      </c>
      <c r="AB20" s="7" t="s">
        <v>228</v>
      </c>
      <c r="AC20" s="26" t="s">
        <v>345</v>
      </c>
      <c r="AD20" s="7" t="s">
        <v>346</v>
      </c>
      <c r="AE20" s="23" t="s">
        <v>91</v>
      </c>
      <c r="AI20" s="25" t="n">
        <v>500000000</v>
      </c>
      <c r="AJ20" s="25" t="n">
        <v>5000000000</v>
      </c>
      <c r="AK20" s="25" t="n">
        <v>40000000000</v>
      </c>
    </row>
    <row r="21" customFormat="false" ht="157.5" hidden="false" customHeight="true" outlineLevel="0" collapsed="false">
      <c r="A21" s="1" t="s">
        <v>347</v>
      </c>
      <c r="B21" s="1" t="s">
        <v>220</v>
      </c>
      <c r="C21" s="1" t="s">
        <v>348</v>
      </c>
      <c r="D21" s="1" t="s">
        <v>178</v>
      </c>
      <c r="E21" s="1" t="s">
        <v>223</v>
      </c>
      <c r="F21" s="1" t="s">
        <v>349</v>
      </c>
      <c r="G21" s="1" t="n">
        <v>50</v>
      </c>
      <c r="H21" s="1" t="n">
        <v>80</v>
      </c>
      <c r="I21" s="18" t="n">
        <f aca="false">IFERROR(INDEX('VSL and Injuries'!$G$21:$G$24,MATCH($AE21,'VSL and Injuries'!$A$21:$A$24,0)),"")</f>
        <v>0.16094</v>
      </c>
      <c r="J21" s="19" t="n">
        <f aca="false">AI21*'VSL and Injuries'!$K$6</f>
        <v>310500000</v>
      </c>
      <c r="K21" s="19" t="n">
        <f aca="false">G21*'VSL and Injuries'!$B$4+H21*'VSL and Injuries'!$B$4*I21</f>
        <v>892827840</v>
      </c>
      <c r="L21" s="19" t="n">
        <f aca="false">K21+J21</f>
        <v>1203327840</v>
      </c>
      <c r="M21" s="1" t="n">
        <v>300</v>
      </c>
      <c r="N21" s="1" t="n">
        <v>500</v>
      </c>
      <c r="O21" s="18" t="n">
        <f aca="false">IFERROR(INDEX('VSL and Injuries'!$G$21:$G$24,MATCH($AE21,'VSL and Injuries'!$A$21:$A$24,0)),"")</f>
        <v>0.16094</v>
      </c>
      <c r="P21" s="19" t="n">
        <f aca="false">AJ21*'VSL and Injuries'!$K$6</f>
        <v>3105000000</v>
      </c>
      <c r="Q21" s="19" t="n">
        <f aca="false">M21*'VSL and Injuries'!$B$4+N21*'VSL and Injuries'!$B$4*O21</f>
        <v>5402674000</v>
      </c>
      <c r="R21" s="19" t="n">
        <f aca="false">Q21+P21</f>
        <v>8507674000</v>
      </c>
      <c r="S21" s="1" t="n">
        <v>2000</v>
      </c>
      <c r="T21" s="1" t="n">
        <v>3500</v>
      </c>
      <c r="U21" s="18" t="n">
        <f aca="false">IFERROR(INDEX('VSL and Injuries'!$G$21:$G$24,MATCH($AE21,'VSL and Injuries'!$A$21:$A$24,0)),"")</f>
        <v>0.16094</v>
      </c>
      <c r="V21" s="19" t="n">
        <f aca="false">AK21*'VSL and Injuries'!$K$6</f>
        <v>25875000000</v>
      </c>
      <c r="W21" s="19" t="n">
        <f aca="false">S21*'VSL and Injuries'!$B$4+T21*'VSL and Injuries'!$B$4*U21</f>
        <v>36398718000</v>
      </c>
      <c r="X21" s="19" t="n">
        <f aca="false">W21+V21</f>
        <v>62273718000</v>
      </c>
      <c r="Y21" s="1" t="s">
        <v>350</v>
      </c>
      <c r="Z21" s="7" t="s">
        <v>351</v>
      </c>
      <c r="AA21" s="7" t="s">
        <v>352</v>
      </c>
      <c r="AB21" s="7" t="s">
        <v>228</v>
      </c>
      <c r="AC21" s="26" t="s">
        <v>353</v>
      </c>
      <c r="AD21" s="7" t="s">
        <v>354</v>
      </c>
      <c r="AE21" s="23" t="s">
        <v>91</v>
      </c>
      <c r="AI21" s="25" t="n">
        <v>300000000</v>
      </c>
      <c r="AJ21" s="25" t="n">
        <v>3000000000</v>
      </c>
      <c r="AK21" s="25" t="n">
        <v>25000000000</v>
      </c>
    </row>
  </sheetData>
  <mergeCells count="1">
    <mergeCell ref="A1:AA1"/>
  </mergeCells>
  <conditionalFormatting sqref="E4:E19">
    <cfRule type="expression" priority="2" aboveAverage="0" equalAverage="0" bottom="0" percent="0" rank="0" text="" dxfId="6">
      <formula>E4="Low"</formula>
    </cfRule>
    <cfRule type="expression" priority="3" aboveAverage="0" equalAverage="0" bottom="0" percent="0" rank="0" text="" dxfId="7">
      <formula>E4="Moderate"</formula>
    </cfRule>
    <cfRule type="expression" priority="4" aboveAverage="0" equalAverage="0" bottom="0" percent="0" rank="0" text="" dxfId="8">
      <formula>E4="Moderate-High"</formula>
    </cfRule>
  </conditionalFormatting>
  <conditionalFormatting sqref="R4:R19">
    <cfRule type="dataBar" priority="5">
      <dataBar showValue="1" minLength="10" maxLength="90">
        <cfvo type="min" val="0"/>
        <cfvo type="max" val="0"/>
        <color rgb="FF2F75B5"/>
      </dataBar>
      <extLst>
        <ext xmlns:x14="http://schemas.microsoft.com/office/spreadsheetml/2009/9/main" uri="{B025F937-C7B1-47D3-B67F-A62EFF666E3E}">
          <x14:id>{9A519790-48C7-4F4C-948B-758F84B997A4}</x14:id>
        </ext>
      </extLst>
    </cfRule>
  </conditionalFormatting>
  <dataValidations count="1">
    <dataValidation allowBlank="false" errorStyle="stop" operator="between" showDropDown="false" showErrorMessage="false" showInputMessage="false" sqref="AE4:AE19" type="list">
      <formula1>'VSL and Injuries'!$A$21:$A$24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9A519790-48C7-4F4C-948B-758F84B997A4}">
            <x14:dataBar minLength="10" maxLength="90" axisPosition="none" gradient="true">
              <x14:cfvo type="min"/>
              <x14:cfvo type="max"/>
              <x14:negativeFillColor rgb="FF2F75B5"/>
              <x14:axisColor rgb="FF000000"/>
            </x14:dataBar>
          </x14:cfRule>
          <xm:sqref>R4:R19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8"/>
    <col collapsed="false" customWidth="true" hidden="false" outlineLevel="0" max="5" min="3" style="1" width="15"/>
    <col collapsed="false" customWidth="true" hidden="false" outlineLevel="0" max="6" min="6" style="1" width="14"/>
    <col collapsed="false" customWidth="true" hidden="false" outlineLevel="0" max="8" min="7" style="1" width="11"/>
    <col collapsed="false" customWidth="true" hidden="false" outlineLevel="0" max="9" min="9" style="1" width="14"/>
    <col collapsed="false" customWidth="true" hidden="false" outlineLevel="0" max="11" min="10" style="1" width="17"/>
    <col collapsed="false" customWidth="true" hidden="false" outlineLevel="0" max="13" min="12" style="1" width="11"/>
    <col collapsed="false" customWidth="true" hidden="false" outlineLevel="0" max="14" min="14" style="1" width="14"/>
    <col collapsed="false" customWidth="true" hidden="false" outlineLevel="0" max="16" min="15" style="1" width="17"/>
    <col collapsed="false" customWidth="true" hidden="false" outlineLevel="0" max="18" min="17" style="1" width="11"/>
    <col collapsed="false" customWidth="true" hidden="false" outlineLevel="0" max="19" min="19" style="1" width="14"/>
    <col collapsed="false" customWidth="true" hidden="false" outlineLevel="0" max="21" min="20" style="1" width="17"/>
    <col collapsed="false" customWidth="true" hidden="false" outlineLevel="0" max="22" min="22" style="1" width="22"/>
    <col collapsed="false" customWidth="true" hidden="false" outlineLevel="0" max="23" min="23" style="1" width="60"/>
  </cols>
  <sheetData>
    <row r="1" customFormat="false" ht="27.75" hidden="false" customHeight="true" outlineLevel="0" collapsed="false">
      <c r="A1" s="2" t="s">
        <v>355</v>
      </c>
      <c r="B1" s="2"/>
      <c r="C1" s="2"/>
      <c r="D1" s="2"/>
      <c r="E1" s="2"/>
      <c r="F1" s="2"/>
      <c r="G1" s="2"/>
      <c r="H1" s="2"/>
      <c r="I1" s="2"/>
      <c r="J1" s="2"/>
      <c r="K1" s="2"/>
      <c r="L1" s="2"/>
      <c r="M1" s="2"/>
      <c r="N1" s="2"/>
      <c r="O1" s="2"/>
      <c r="P1" s="2"/>
      <c r="Q1" s="2"/>
      <c r="R1" s="2"/>
      <c r="S1" s="2"/>
      <c r="T1" s="2"/>
      <c r="U1" s="2"/>
      <c r="V1" s="2"/>
      <c r="W1" s="2"/>
    </row>
    <row r="3" customFormat="false" ht="41.25" hidden="false" customHeight="true" outlineLevel="0" collapsed="false">
      <c r="A3" s="8" t="s">
        <v>356</v>
      </c>
      <c r="B3" s="8" t="s">
        <v>357</v>
      </c>
      <c r="C3" s="8" t="s">
        <v>358</v>
      </c>
      <c r="D3" s="8" t="s">
        <v>359</v>
      </c>
      <c r="E3" s="8" t="s">
        <v>360</v>
      </c>
      <c r="F3" s="8" t="s">
        <v>17</v>
      </c>
      <c r="G3" s="8" t="s">
        <v>361</v>
      </c>
      <c r="H3" s="8" t="s">
        <v>189</v>
      </c>
      <c r="I3" s="8" t="s">
        <v>362</v>
      </c>
      <c r="J3" s="8" t="s">
        <v>363</v>
      </c>
      <c r="K3" s="8" t="s">
        <v>364</v>
      </c>
      <c r="L3" s="8" t="s">
        <v>365</v>
      </c>
      <c r="M3" s="8" t="s">
        <v>195</v>
      </c>
      <c r="N3" s="8" t="s">
        <v>366</v>
      </c>
      <c r="O3" s="8" t="s">
        <v>367</v>
      </c>
      <c r="P3" s="8" t="s">
        <v>368</v>
      </c>
      <c r="Q3" s="8" t="s">
        <v>369</v>
      </c>
      <c r="R3" s="8" t="s">
        <v>201</v>
      </c>
      <c r="S3" s="8" t="s">
        <v>370</v>
      </c>
      <c r="T3" s="8" t="s">
        <v>371</v>
      </c>
      <c r="U3" s="8" t="s">
        <v>372</v>
      </c>
      <c r="V3" s="8" t="s">
        <v>206</v>
      </c>
      <c r="W3" s="8" t="s">
        <v>373</v>
      </c>
      <c r="X3" s="6" t="s">
        <v>374</v>
      </c>
      <c r="Y3" s="6" t="s">
        <v>375</v>
      </c>
    </row>
    <row r="4" customFormat="false" ht="41.25" hidden="false" customHeight="true" outlineLevel="0" collapsed="false">
      <c r="A4" s="4" t="s">
        <v>376</v>
      </c>
      <c r="B4" s="4" t="s">
        <v>377</v>
      </c>
      <c r="C4" s="4" t="n">
        <v>24</v>
      </c>
      <c r="D4" s="4" t="n">
        <v>72</v>
      </c>
      <c r="E4" s="4" t="n">
        <v>336</v>
      </c>
      <c r="F4" s="4" t="s">
        <v>234</v>
      </c>
      <c r="G4" s="4" t="n">
        <v>0</v>
      </c>
      <c r="H4" s="4" t="n">
        <v>1</v>
      </c>
      <c r="I4" s="13" t="n">
        <v>0.02</v>
      </c>
      <c r="J4" s="10" t="n">
        <v>2000000</v>
      </c>
      <c r="K4" s="10" t="n">
        <v>5000000</v>
      </c>
      <c r="L4" s="4" t="n">
        <v>1</v>
      </c>
      <c r="M4" s="4" t="n">
        <v>5</v>
      </c>
      <c r="N4" s="13" t="n">
        <v>0.05</v>
      </c>
      <c r="O4" s="10" t="n">
        <v>15000000</v>
      </c>
      <c r="P4" s="10" t="n">
        <v>25000000</v>
      </c>
      <c r="Q4" s="4" t="n">
        <v>5</v>
      </c>
      <c r="R4" s="4" t="n">
        <v>20</v>
      </c>
      <c r="S4" s="13" t="n">
        <v>0.12</v>
      </c>
      <c r="T4" s="10" t="n">
        <v>100000000</v>
      </c>
      <c r="U4" s="10" t="n">
        <v>100000000</v>
      </c>
      <c r="V4" s="4" t="s">
        <v>378</v>
      </c>
      <c r="W4" s="4" t="s">
        <v>379</v>
      </c>
      <c r="X4" s="27" t="n">
        <v>20</v>
      </c>
      <c r="Y4" s="28" t="n">
        <f aca="false">E4+X4*24</f>
        <v>816</v>
      </c>
    </row>
    <row r="5" customFormat="false" ht="27.75" hidden="false" customHeight="true" outlineLevel="0" collapsed="false">
      <c r="A5" s="4" t="s">
        <v>380</v>
      </c>
      <c r="B5" s="4" t="s">
        <v>381</v>
      </c>
      <c r="C5" s="4" t="n">
        <v>12</v>
      </c>
      <c r="D5" s="4" t="n">
        <v>48</v>
      </c>
      <c r="E5" s="4" t="n">
        <v>240</v>
      </c>
      <c r="F5" s="4" t="s">
        <v>223</v>
      </c>
      <c r="G5" s="4" t="n">
        <v>0</v>
      </c>
      <c r="H5" s="4" t="n">
        <v>1</v>
      </c>
      <c r="I5" s="13" t="n">
        <v>0.02</v>
      </c>
      <c r="J5" s="10" t="n">
        <v>1000000</v>
      </c>
      <c r="K5" s="10" t="n">
        <v>3000000</v>
      </c>
      <c r="L5" s="4" t="n">
        <v>1</v>
      </c>
      <c r="M5" s="4" t="n">
        <v>4</v>
      </c>
      <c r="N5" s="13" t="n">
        <v>0.05</v>
      </c>
      <c r="O5" s="10" t="n">
        <v>8000000</v>
      </c>
      <c r="P5" s="10" t="n">
        <v>15000000</v>
      </c>
      <c r="Q5" s="4" t="n">
        <v>4</v>
      </c>
      <c r="R5" s="4" t="n">
        <v>15</v>
      </c>
      <c r="S5" s="13" t="n">
        <v>0.12</v>
      </c>
      <c r="T5" s="10" t="n">
        <v>50000000</v>
      </c>
      <c r="U5" s="10" t="n">
        <v>60000000</v>
      </c>
      <c r="V5" s="4" t="s">
        <v>382</v>
      </c>
      <c r="W5" s="4" t="s">
        <v>383</v>
      </c>
      <c r="X5" s="27" t="n">
        <v>10</v>
      </c>
      <c r="Y5" s="28" t="n">
        <f aca="false">E5+X5*24</f>
        <v>480</v>
      </c>
    </row>
    <row r="6" customFormat="false" ht="27.75" hidden="false" customHeight="true" outlineLevel="0" collapsed="false">
      <c r="A6" s="4" t="s">
        <v>384</v>
      </c>
      <c r="B6" s="4" t="s">
        <v>385</v>
      </c>
      <c r="C6" s="4" t="n">
        <v>12</v>
      </c>
      <c r="D6" s="4" t="n">
        <v>72</v>
      </c>
      <c r="E6" s="4" t="n">
        <v>336</v>
      </c>
      <c r="F6" s="4" t="s">
        <v>223</v>
      </c>
      <c r="G6" s="4" t="n">
        <v>0</v>
      </c>
      <c r="H6" s="4" t="n">
        <v>1</v>
      </c>
      <c r="I6" s="13" t="n">
        <v>0.02</v>
      </c>
      <c r="J6" s="10" t="n">
        <v>2000000</v>
      </c>
      <c r="K6" s="10" t="n">
        <v>4000000</v>
      </c>
      <c r="L6" s="4" t="n">
        <v>1</v>
      </c>
      <c r="M6" s="4" t="n">
        <v>5</v>
      </c>
      <c r="N6" s="13" t="n">
        <v>0.05</v>
      </c>
      <c r="O6" s="10" t="n">
        <v>12000000</v>
      </c>
      <c r="P6" s="10" t="n">
        <v>20000000</v>
      </c>
      <c r="Q6" s="4" t="n">
        <v>5</v>
      </c>
      <c r="R6" s="4" t="n">
        <v>20</v>
      </c>
      <c r="S6" s="13" t="n">
        <v>0.12</v>
      </c>
      <c r="T6" s="10" t="n">
        <v>75000000</v>
      </c>
      <c r="U6" s="10" t="n">
        <v>80000000</v>
      </c>
      <c r="V6" s="4" t="s">
        <v>382</v>
      </c>
      <c r="W6" s="4" t="s">
        <v>386</v>
      </c>
      <c r="X6" s="27" t="n">
        <v>20</v>
      </c>
      <c r="Y6" s="28" t="n">
        <f aca="false">E6+X6*24</f>
        <v>816</v>
      </c>
    </row>
    <row r="7" customFormat="false" ht="41.25" hidden="false" customHeight="true" outlineLevel="0" collapsed="false">
      <c r="A7" s="4" t="s">
        <v>387</v>
      </c>
      <c r="B7" s="4" t="s">
        <v>388</v>
      </c>
      <c r="C7" s="4" t="n">
        <v>4</v>
      </c>
      <c r="D7" s="4" t="n">
        <v>24</v>
      </c>
      <c r="E7" s="4" t="n">
        <v>168</v>
      </c>
      <c r="F7" s="4" t="s">
        <v>234</v>
      </c>
      <c r="G7" s="4" t="n">
        <v>0</v>
      </c>
      <c r="H7" s="4" t="n">
        <v>5</v>
      </c>
      <c r="I7" s="13" t="n">
        <v>0.025</v>
      </c>
      <c r="J7" s="10" t="n">
        <v>25000000</v>
      </c>
      <c r="K7" s="10" t="n">
        <v>5000000</v>
      </c>
      <c r="L7" s="4" t="n">
        <v>5</v>
      </c>
      <c r="M7" s="4" t="n">
        <v>50</v>
      </c>
      <c r="N7" s="13" t="n">
        <v>0.05</v>
      </c>
      <c r="O7" s="10" t="n">
        <v>200000000</v>
      </c>
      <c r="P7" s="10" t="n">
        <v>40000000</v>
      </c>
      <c r="Q7" s="4" t="n">
        <v>30</v>
      </c>
      <c r="R7" s="4" t="n">
        <v>250</v>
      </c>
      <c r="S7" s="13" t="n">
        <v>0.12</v>
      </c>
      <c r="T7" s="10" t="n">
        <v>1000000000</v>
      </c>
      <c r="U7" s="10" t="n">
        <v>200000000</v>
      </c>
      <c r="V7" s="4" t="s">
        <v>257</v>
      </c>
      <c r="W7" s="4" t="s">
        <v>389</v>
      </c>
      <c r="X7" s="27" t="n">
        <v>5</v>
      </c>
      <c r="Y7" s="28" t="n">
        <f aca="false">E7+X7*24</f>
        <v>288</v>
      </c>
    </row>
    <row r="8" customFormat="false" ht="27.75" hidden="false" customHeight="true" outlineLevel="0" collapsed="false">
      <c r="A8" s="4" t="s">
        <v>390</v>
      </c>
      <c r="B8" s="4" t="s">
        <v>391</v>
      </c>
      <c r="C8" s="4" t="n">
        <v>12</v>
      </c>
      <c r="D8" s="4" t="n">
        <v>72</v>
      </c>
      <c r="E8" s="4" t="n">
        <v>336</v>
      </c>
      <c r="F8" s="4" t="s">
        <v>234</v>
      </c>
      <c r="G8" s="4" t="n">
        <v>0</v>
      </c>
      <c r="H8" s="4" t="n">
        <v>1</v>
      </c>
      <c r="I8" s="13" t="n">
        <v>0.02</v>
      </c>
      <c r="J8" s="10" t="n">
        <v>2000000</v>
      </c>
      <c r="K8" s="10" t="n">
        <v>2000000</v>
      </c>
      <c r="L8" s="4" t="n">
        <v>1</v>
      </c>
      <c r="M8" s="4" t="n">
        <v>8</v>
      </c>
      <c r="N8" s="13" t="n">
        <v>0.05</v>
      </c>
      <c r="O8" s="10" t="n">
        <v>20000000</v>
      </c>
      <c r="P8" s="10" t="n">
        <v>15000000</v>
      </c>
      <c r="Q8" s="4" t="n">
        <v>10</v>
      </c>
      <c r="R8" s="4" t="n">
        <v>50</v>
      </c>
      <c r="S8" s="13" t="n">
        <v>0.12</v>
      </c>
      <c r="T8" s="10" t="n">
        <v>150000000</v>
      </c>
      <c r="U8" s="10" t="n">
        <v>75000000</v>
      </c>
      <c r="V8" s="4" t="s">
        <v>392</v>
      </c>
      <c r="W8" s="4" t="s">
        <v>393</v>
      </c>
      <c r="X8" s="27" t="n">
        <v>10</v>
      </c>
      <c r="Y8" s="28" t="n">
        <f aca="false">E8+X8*24</f>
        <v>576</v>
      </c>
    </row>
    <row r="10" customFormat="false" ht="95.25" hidden="false" customHeight="true" outlineLevel="0" collapsed="false">
      <c r="A10" s="6" t="s">
        <v>394</v>
      </c>
      <c r="B10" s="14" t="s">
        <v>395</v>
      </c>
    </row>
  </sheetData>
  <mergeCells count="1">
    <mergeCell ref="A1:W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14"/>
    <col collapsed="false" customWidth="true" hidden="false" outlineLevel="0" max="4" min="4" style="1" width="24"/>
  </cols>
  <sheetData>
    <row r="1" customFormat="false" ht="27.75" hidden="false" customHeight="true" outlineLevel="0" collapsed="false">
      <c r="A1" s="2" t="s">
        <v>396</v>
      </c>
      <c r="B1" s="2"/>
      <c r="C1" s="2"/>
      <c r="D1" s="2"/>
      <c r="E1" s="2"/>
    </row>
    <row r="3" customFormat="false" ht="15" hidden="false" customHeight="true" outlineLevel="0" collapsed="false">
      <c r="A3" s="8" t="s">
        <v>397</v>
      </c>
      <c r="B3" s="8" t="s">
        <v>398</v>
      </c>
      <c r="C3" s="8" t="s">
        <v>399</v>
      </c>
      <c r="D3" s="8" t="s">
        <v>400</v>
      </c>
      <c r="E3" s="6" t="s">
        <v>401</v>
      </c>
      <c r="F3" s="6" t="s">
        <v>402</v>
      </c>
      <c r="G3" s="6" t="s">
        <v>403</v>
      </c>
    </row>
    <row r="4" customFormat="false" ht="54.75" hidden="false" customHeight="true" outlineLevel="0" collapsed="false">
      <c r="A4" s="1" t="s">
        <v>404</v>
      </c>
      <c r="B4" s="1" t="n">
        <v>4</v>
      </c>
      <c r="C4" s="29" t="n">
        <v>0.166666666666667</v>
      </c>
      <c r="D4" s="29" t="n">
        <v>0.35</v>
      </c>
      <c r="E4" s="27" t="n">
        <v>0</v>
      </c>
      <c r="F4" s="14" t="s">
        <v>405</v>
      </c>
      <c r="G4" s="29" t="n">
        <f aca="false">C4+E4</f>
        <v>0.166666666666667</v>
      </c>
    </row>
    <row r="5" customFormat="false" ht="54.75" hidden="false" customHeight="true" outlineLevel="0" collapsed="false">
      <c r="A5" s="1" t="s">
        <v>406</v>
      </c>
      <c r="B5" s="1" t="n">
        <v>12</v>
      </c>
      <c r="C5" s="29" t="n">
        <v>0.5</v>
      </c>
      <c r="D5" s="29" t="n">
        <v>0.55</v>
      </c>
      <c r="E5" s="27" t="n">
        <v>0</v>
      </c>
      <c r="F5" s="14" t="s">
        <v>405</v>
      </c>
      <c r="G5" s="29" t="n">
        <f aca="false">C5+E5</f>
        <v>0.5</v>
      </c>
    </row>
    <row r="6" customFormat="false" ht="54.75" hidden="false" customHeight="true" outlineLevel="0" collapsed="false">
      <c r="A6" s="1" t="s">
        <v>407</v>
      </c>
      <c r="B6" s="1" t="n">
        <v>24</v>
      </c>
      <c r="C6" s="29" t="n">
        <v>1</v>
      </c>
      <c r="D6" s="29" t="n">
        <v>0.7</v>
      </c>
      <c r="E6" s="27" t="n">
        <v>0</v>
      </c>
      <c r="F6" s="14" t="s">
        <v>408</v>
      </c>
      <c r="G6" s="29" t="n">
        <f aca="false">C6+E6</f>
        <v>1</v>
      </c>
    </row>
    <row r="7" customFormat="false" ht="68.25" hidden="false" customHeight="true" outlineLevel="0" collapsed="false">
      <c r="A7" s="1" t="s">
        <v>409</v>
      </c>
      <c r="B7" s="1" t="n">
        <v>72</v>
      </c>
      <c r="C7" s="29" t="n">
        <v>3</v>
      </c>
      <c r="D7" s="29" t="n">
        <v>0.9</v>
      </c>
      <c r="E7" s="27" t="n">
        <v>1</v>
      </c>
      <c r="F7" s="14" t="s">
        <v>410</v>
      </c>
      <c r="G7" s="29" t="n">
        <f aca="false">C7+E7</f>
        <v>4</v>
      </c>
    </row>
    <row r="8" customFormat="false" ht="54.75" hidden="false" customHeight="true" outlineLevel="0" collapsed="false">
      <c r="A8" s="1" t="s">
        <v>411</v>
      </c>
      <c r="B8" s="1" t="n">
        <v>168</v>
      </c>
      <c r="C8" s="29" t="n">
        <v>7</v>
      </c>
      <c r="D8" s="29" t="n">
        <v>1</v>
      </c>
      <c r="E8" s="27" t="n">
        <v>2</v>
      </c>
      <c r="F8" s="14" t="s">
        <v>412</v>
      </c>
      <c r="G8" s="29" t="n">
        <f aca="false">C8+E8</f>
        <v>9</v>
      </c>
    </row>
    <row r="9" customFormat="false" ht="68.25" hidden="false" customHeight="true" outlineLevel="0" collapsed="false">
      <c r="A9" s="1" t="s">
        <v>413</v>
      </c>
      <c r="B9" s="1" t="n">
        <v>336</v>
      </c>
      <c r="C9" s="29" t="n">
        <v>14</v>
      </c>
      <c r="D9" s="29" t="n">
        <v>1.1</v>
      </c>
      <c r="E9" s="27" t="n">
        <v>3</v>
      </c>
      <c r="F9" s="14" t="s">
        <v>414</v>
      </c>
      <c r="G9" s="29" t="n">
        <f aca="false">C9+E9</f>
        <v>17</v>
      </c>
    </row>
    <row r="10" customFormat="false" ht="95.25" hidden="false" customHeight="true" outlineLevel="0" collapsed="false">
      <c r="A10" s="1" t="s">
        <v>415</v>
      </c>
      <c r="B10" s="1" t="n">
        <v>720</v>
      </c>
      <c r="C10" s="29" t="n">
        <v>30</v>
      </c>
      <c r="D10" s="29" t="n">
        <v>1.2</v>
      </c>
      <c r="E10" s="27" t="n">
        <v>5</v>
      </c>
      <c r="F10" s="14" t="s">
        <v>416</v>
      </c>
      <c r="G10" s="29" t="n">
        <f aca="false">C10+E10</f>
        <v>35</v>
      </c>
    </row>
    <row r="11" customFormat="false" ht="95.25" hidden="false" customHeight="true" outlineLevel="0" collapsed="false">
      <c r="A11" s="1" t="s">
        <v>417</v>
      </c>
      <c r="B11" s="1" t="n">
        <v>1080</v>
      </c>
      <c r="C11" s="1" t="n">
        <v>45</v>
      </c>
      <c r="D11" s="30" t="n">
        <v>1.3</v>
      </c>
      <c r="E11" s="27" t="n">
        <v>10</v>
      </c>
      <c r="F11" s="14" t="s">
        <v>418</v>
      </c>
      <c r="G11" s="29" t="n">
        <f aca="false">C11+E11</f>
        <v>55</v>
      </c>
    </row>
    <row r="12" customFormat="false" ht="122.25" hidden="false" customHeight="true" outlineLevel="0" collapsed="false">
      <c r="A12" s="31" t="s">
        <v>419</v>
      </c>
      <c r="B12" s="31" t="n">
        <v>2160</v>
      </c>
      <c r="C12" s="31" t="n">
        <v>90</v>
      </c>
      <c r="D12" s="32" t="n">
        <v>1.4</v>
      </c>
      <c r="E12" s="33" t="n">
        <v>20</v>
      </c>
      <c r="F12" s="14" t="s">
        <v>420</v>
      </c>
      <c r="G12" s="29" t="n">
        <f aca="false">C12+E12</f>
        <v>110</v>
      </c>
    </row>
    <row r="13" customFormat="false" ht="135.75" hidden="false" customHeight="true" outlineLevel="0" collapsed="false">
      <c r="A13" s="4" t="s">
        <v>421</v>
      </c>
      <c r="B13" s="4" t="s">
        <v>422</v>
      </c>
      <c r="C13" s="4"/>
      <c r="D13" s="4"/>
      <c r="E13" s="4"/>
    </row>
    <row r="14" customFormat="false" ht="108.75" hidden="false" customHeight="true" outlineLevel="0" collapsed="false">
      <c r="A14" s="4" t="s">
        <v>423</v>
      </c>
      <c r="B14" s="4" t="s">
        <v>424</v>
      </c>
      <c r="C14" s="4"/>
      <c r="D14" s="4"/>
      <c r="E14" s="4"/>
    </row>
    <row r="15" customFormat="false" ht="350.25" hidden="false" customHeight="true" outlineLevel="0" collapsed="false">
      <c r="A15" s="6" t="s">
        <v>425</v>
      </c>
      <c r="B15" s="14" t="s">
        <v>426</v>
      </c>
    </row>
    <row r="16" customFormat="false" ht="189" hidden="false" customHeight="true" outlineLevel="0" collapsed="false">
      <c r="A16" s="6" t="s">
        <v>423</v>
      </c>
      <c r="B16" s="14" t="s">
        <v>427</v>
      </c>
    </row>
  </sheetData>
  <mergeCells count="1">
    <mergeCell ref="A1:E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4" min="3" style="1" width="10"/>
    <col collapsed="false" customWidth="true" hidden="false" outlineLevel="0" max="5" min="5" style="1" width="13"/>
    <col collapsed="false" customWidth="true" hidden="false" outlineLevel="0" max="6" min="6" style="1" width="14"/>
    <col collapsed="false" customWidth="true" hidden="false" outlineLevel="0" max="8" min="7" style="1" width="10"/>
    <col collapsed="false" customWidth="true" hidden="false" outlineLevel="0" max="9" min="9" style="1" width="13"/>
    <col collapsed="false" customWidth="true" hidden="false" outlineLevel="0" max="10" min="10" style="1" width="16"/>
    <col collapsed="false" customWidth="true" hidden="false" outlineLevel="0" max="11" min="11" style="1" width="15"/>
    <col collapsed="false" customWidth="true" hidden="false" outlineLevel="0" max="14" min="12" style="1" width="16"/>
    <col collapsed="false" customWidth="true" hidden="false" outlineLevel="0" max="16" min="15" style="1" width="10"/>
    <col collapsed="false" customWidth="true" hidden="false" outlineLevel="0" max="17" min="17" style="1" width="13"/>
    <col collapsed="false" customWidth="true" hidden="false" outlineLevel="0" max="18" min="18" style="1" width="16"/>
    <col collapsed="false" customWidth="true" hidden="false" outlineLevel="0" max="19" min="19" style="1" width="15"/>
    <col collapsed="false" customWidth="true" hidden="false" outlineLevel="0" max="22" min="20" style="1" width="16"/>
    <col collapsed="false" customWidth="true" hidden="false" outlineLevel="0" max="24" min="23" style="1" width="10"/>
    <col collapsed="false" customWidth="true" hidden="false" outlineLevel="0" max="25" min="25" style="1" width="13"/>
    <col collapsed="false" customWidth="true" hidden="false" outlineLevel="0" max="26" min="26" style="1" width="16"/>
    <col collapsed="false" customWidth="true" hidden="false" outlineLevel="0" max="27" min="27" style="1" width="15"/>
    <col collapsed="false" customWidth="true" hidden="false" outlineLevel="0" max="30" min="28" style="1" width="16"/>
    <col collapsed="false" customWidth="true" hidden="false" outlineLevel="0" max="31" min="31" style="1" width="22"/>
    <col collapsed="false" customWidth="true" hidden="false" outlineLevel="0" max="32" min="32" style="1" width="55"/>
  </cols>
  <sheetData>
    <row r="1" customFormat="false" ht="27.75" hidden="false" customHeight="true" outlineLevel="0" collapsed="false">
      <c r="A1" s="2" t="s">
        <v>428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3" customFormat="false" ht="41.25" hidden="false" customHeight="true" outlineLevel="0" collapsed="false">
      <c r="A3" s="8" t="s">
        <v>356</v>
      </c>
      <c r="B3" s="8" t="s">
        <v>429</v>
      </c>
      <c r="C3" s="8" t="s">
        <v>398</v>
      </c>
      <c r="D3" s="8" t="s">
        <v>399</v>
      </c>
      <c r="E3" s="8" t="s">
        <v>430</v>
      </c>
      <c r="F3" s="8" t="s">
        <v>17</v>
      </c>
      <c r="G3" s="8" t="s">
        <v>361</v>
      </c>
      <c r="H3" s="8" t="s">
        <v>189</v>
      </c>
      <c r="I3" s="8" t="s">
        <v>362</v>
      </c>
      <c r="J3" s="8" t="s">
        <v>363</v>
      </c>
      <c r="K3" s="8" t="s">
        <v>431</v>
      </c>
      <c r="L3" s="8" t="s">
        <v>432</v>
      </c>
      <c r="M3" s="8" t="s">
        <v>433</v>
      </c>
      <c r="N3" s="8" t="s">
        <v>434</v>
      </c>
      <c r="O3" s="8" t="s">
        <v>365</v>
      </c>
      <c r="P3" s="8" t="s">
        <v>195</v>
      </c>
      <c r="Q3" s="8" t="s">
        <v>366</v>
      </c>
      <c r="R3" s="8" t="s">
        <v>367</v>
      </c>
      <c r="S3" s="8" t="s">
        <v>435</v>
      </c>
      <c r="T3" s="8" t="s">
        <v>436</v>
      </c>
      <c r="U3" s="8" t="s">
        <v>437</v>
      </c>
      <c r="V3" s="8" t="s">
        <v>438</v>
      </c>
      <c r="W3" s="8" t="s">
        <v>369</v>
      </c>
      <c r="X3" s="8" t="s">
        <v>201</v>
      </c>
      <c r="Y3" s="8" t="s">
        <v>370</v>
      </c>
      <c r="Z3" s="8" t="s">
        <v>371</v>
      </c>
      <c r="AA3" s="8" t="s">
        <v>439</v>
      </c>
      <c r="AB3" s="8" t="s">
        <v>440</v>
      </c>
      <c r="AC3" s="8" t="s">
        <v>441</v>
      </c>
      <c r="AD3" s="8" t="s">
        <v>442</v>
      </c>
      <c r="AE3" s="8" t="s">
        <v>206</v>
      </c>
      <c r="AF3" s="8" t="s">
        <v>373</v>
      </c>
      <c r="AG3" s="9" t="s">
        <v>403</v>
      </c>
    </row>
    <row r="4" customFormat="false" ht="41.25" hidden="false" customHeight="true" outlineLevel="0" collapsed="false">
      <c r="A4" s="4" t="s">
        <v>376</v>
      </c>
      <c r="B4" s="4" t="s">
        <v>404</v>
      </c>
      <c r="C4" s="4" t="n">
        <v>4</v>
      </c>
      <c r="D4" s="34" t="n">
        <f aca="false">IFERROR(INDEX('Duration Factors'!$C$4:$C$12,MATCH($B4,'Duration Factors'!$A$4:$A$12,0)),"")</f>
        <v>0.166666666666667</v>
      </c>
      <c r="E4" s="34" t="n">
        <f aca="false">IFERROR(INDEX('Duration Factors'!$D$4:$D$12,MATCH($B4,'Duration Factors'!$A$4:$A$12,0)),"")</f>
        <v>0.35</v>
      </c>
      <c r="F4" s="4" t="s">
        <v>234</v>
      </c>
      <c r="G4" s="4" t="n">
        <f aca="false">'Target Inputs'!G4</f>
        <v>0</v>
      </c>
      <c r="H4" s="4" t="n">
        <f aca="false">'Target Inputs'!H4</f>
        <v>1</v>
      </c>
      <c r="I4" s="13" t="n">
        <f aca="false">'Target Inputs'!I4</f>
        <v>0.02</v>
      </c>
      <c r="J4" s="10" t="n">
        <f aca="false">'Target Inputs'!J4</f>
        <v>2000000</v>
      </c>
      <c r="K4" s="10" t="n">
        <f aca="false">'Target Inputs'!K4</f>
        <v>5000000</v>
      </c>
      <c r="L4" s="10" t="n">
        <f aca="false">G4*'VSL and Injuries'!$B$4+H4*'VSL and Injuries'!$B$4*I4+J4*'VSL and Injuries'!$K$6</f>
        <v>2354000</v>
      </c>
      <c r="M4" s="10" t="n">
        <f aca="false">K4*'VSL and Injuries'!$K$6*$AG4*E4</f>
        <v>301875.000000001</v>
      </c>
      <c r="N4" s="10" t="n">
        <f aca="false">L4+M4</f>
        <v>2655875</v>
      </c>
      <c r="O4" s="4" t="n">
        <f aca="false">'Target Inputs'!L4</f>
        <v>1</v>
      </c>
      <c r="P4" s="4" t="n">
        <f aca="false">'Target Inputs'!M4</f>
        <v>5</v>
      </c>
      <c r="Q4" s="13" t="n">
        <f aca="false">'Target Inputs'!N4</f>
        <v>0.05</v>
      </c>
      <c r="R4" s="10" t="n">
        <f aca="false">'Target Inputs'!O4</f>
        <v>15000000</v>
      </c>
      <c r="S4" s="10" t="n">
        <f aca="false">'Target Inputs'!P4</f>
        <v>25000000</v>
      </c>
      <c r="T4" s="10" t="n">
        <f aca="false">O4*'VSL and Injuries'!$B$4+P4*'VSL and Injuries'!$B$4*Q4+R4*'VSL and Injuries'!$K$6</f>
        <v>33275000</v>
      </c>
      <c r="U4" s="10" t="n">
        <f aca="false">S4*'VSL and Injuries'!$K$6*$AG4*E4</f>
        <v>1509375</v>
      </c>
      <c r="V4" s="10" t="n">
        <f aca="false">T4+U4</f>
        <v>34784375</v>
      </c>
      <c r="W4" s="4" t="n">
        <f aca="false">'Target Inputs'!Q4</f>
        <v>5</v>
      </c>
      <c r="X4" s="4" t="n">
        <f aca="false">'Target Inputs'!R4</f>
        <v>20</v>
      </c>
      <c r="Y4" s="13" t="n">
        <f aca="false">'Target Inputs'!S4</f>
        <v>0.12</v>
      </c>
      <c r="Z4" s="10" t="n">
        <f aca="false">'Target Inputs'!T4</f>
        <v>100000000</v>
      </c>
      <c r="AA4" s="10" t="n">
        <f aca="false">'Target Inputs'!U4</f>
        <v>100000000</v>
      </c>
      <c r="AB4" s="10" t="n">
        <f aca="false">W4*'VSL and Injuries'!$B$4+X4*'VSL and Injuries'!$B$4*Y4+Z4*'VSL and Injuries'!$K$6</f>
        <v>208580000</v>
      </c>
      <c r="AC4" s="10" t="n">
        <f aca="false">AA4*'VSL and Injuries'!$K$6*$AG4*E4</f>
        <v>6037500.00000001</v>
      </c>
      <c r="AD4" s="10" t="n">
        <f aca="false">AB4+AC4</f>
        <v>214617500</v>
      </c>
      <c r="AE4" s="4" t="s">
        <v>378</v>
      </c>
      <c r="AF4" s="4" t="s">
        <v>379</v>
      </c>
      <c r="AG4" s="35" t="n">
        <f aca="false">IFERROR(INDEX('Duration Factors'!$G$4:$G$12,MATCH($B4,'Duration Factors'!$A$4:$A$12,0)),"")</f>
        <v>0.166666666666667</v>
      </c>
    </row>
    <row r="5" customFormat="false" ht="41.25" hidden="false" customHeight="true" outlineLevel="0" collapsed="false">
      <c r="A5" s="4" t="s">
        <v>376</v>
      </c>
      <c r="B5" s="4" t="s">
        <v>406</v>
      </c>
      <c r="C5" s="4" t="n">
        <v>12</v>
      </c>
      <c r="D5" s="34" t="n">
        <f aca="false">IFERROR(INDEX('Duration Factors'!$C$4:$C$12,MATCH($B5,'Duration Factors'!$A$4:$A$12,0)),"")</f>
        <v>0.5</v>
      </c>
      <c r="E5" s="34" t="n">
        <f aca="false">IFERROR(INDEX('Duration Factors'!$D$4:$D$12,MATCH($B5,'Duration Factors'!$A$4:$A$12,0)),"")</f>
        <v>0.55</v>
      </c>
      <c r="F5" s="4" t="s">
        <v>234</v>
      </c>
      <c r="G5" s="4" t="n">
        <f aca="false">'Target Inputs'!G4</f>
        <v>0</v>
      </c>
      <c r="H5" s="4" t="n">
        <f aca="false">'Target Inputs'!H4</f>
        <v>1</v>
      </c>
      <c r="I5" s="13" t="n">
        <f aca="false">'Target Inputs'!I4</f>
        <v>0.02</v>
      </c>
      <c r="J5" s="10" t="n">
        <f aca="false">'Target Inputs'!J4</f>
        <v>2000000</v>
      </c>
      <c r="K5" s="10" t="n">
        <f aca="false">'Target Inputs'!K4</f>
        <v>5000000</v>
      </c>
      <c r="L5" s="10" t="n">
        <f aca="false">G5*'VSL and Injuries'!$B$4+H5*'VSL and Injuries'!$B$4*I5+J5*'VSL and Injuries'!$K$6</f>
        <v>2354000</v>
      </c>
      <c r="M5" s="10" t="n">
        <f aca="false">K5*'VSL and Injuries'!$K$6*$AG5*E5</f>
        <v>1423125</v>
      </c>
      <c r="N5" s="10" t="n">
        <f aca="false">L5+M5</f>
        <v>3777125</v>
      </c>
      <c r="O5" s="4" t="n">
        <f aca="false">'Target Inputs'!L4</f>
        <v>1</v>
      </c>
      <c r="P5" s="4" t="n">
        <f aca="false">'Target Inputs'!M4</f>
        <v>5</v>
      </c>
      <c r="Q5" s="13" t="n">
        <f aca="false">'Target Inputs'!N4</f>
        <v>0.05</v>
      </c>
      <c r="R5" s="10" t="n">
        <f aca="false">'Target Inputs'!O4</f>
        <v>15000000</v>
      </c>
      <c r="S5" s="10" t="n">
        <f aca="false">'Target Inputs'!P4</f>
        <v>25000000</v>
      </c>
      <c r="T5" s="10" t="n">
        <f aca="false">O5*'VSL and Injuries'!$B$4+P5*'VSL and Injuries'!$B$4*Q5+R5*'VSL and Injuries'!$K$6</f>
        <v>33275000</v>
      </c>
      <c r="U5" s="10" t="n">
        <f aca="false">S5*'VSL and Injuries'!$K$6*$AG5*E5</f>
        <v>7115625</v>
      </c>
      <c r="V5" s="10" t="n">
        <f aca="false">T5+U5</f>
        <v>40390625</v>
      </c>
      <c r="W5" s="4" t="n">
        <f aca="false">'Target Inputs'!Q4</f>
        <v>5</v>
      </c>
      <c r="X5" s="4" t="n">
        <f aca="false">'Target Inputs'!R4</f>
        <v>20</v>
      </c>
      <c r="Y5" s="13" t="n">
        <f aca="false">'Target Inputs'!S4</f>
        <v>0.12</v>
      </c>
      <c r="Z5" s="10" t="n">
        <f aca="false">'Target Inputs'!T4</f>
        <v>100000000</v>
      </c>
      <c r="AA5" s="10" t="n">
        <f aca="false">'Target Inputs'!U4</f>
        <v>100000000</v>
      </c>
      <c r="AB5" s="10" t="n">
        <f aca="false">W5*'VSL and Injuries'!$B$4+X5*'VSL and Injuries'!$B$4*Y5+Z5*'VSL and Injuries'!$K$6</f>
        <v>208580000</v>
      </c>
      <c r="AC5" s="10" t="n">
        <f aca="false">AA5*'VSL and Injuries'!$K$6*$AG5*E5</f>
        <v>28462500</v>
      </c>
      <c r="AD5" s="10" t="n">
        <f aca="false">AB5+AC5</f>
        <v>237042500</v>
      </c>
      <c r="AE5" s="4" t="s">
        <v>378</v>
      </c>
      <c r="AF5" s="4" t="s">
        <v>379</v>
      </c>
      <c r="AG5" s="35" t="n">
        <f aca="false">IFERROR(INDEX('Duration Factors'!$G$4:$G$12,MATCH($B5,'Duration Factors'!$A$4:$A$12,0)),"")</f>
        <v>0.5</v>
      </c>
    </row>
    <row r="6" customFormat="false" ht="41.25" hidden="false" customHeight="true" outlineLevel="0" collapsed="false">
      <c r="A6" s="4" t="s">
        <v>376</v>
      </c>
      <c r="B6" s="4" t="s">
        <v>407</v>
      </c>
      <c r="C6" s="4" t="n">
        <v>24</v>
      </c>
      <c r="D6" s="34" t="n">
        <f aca="false">IFERROR(INDEX('Duration Factors'!$C$4:$C$12,MATCH($B6,'Duration Factors'!$A$4:$A$12,0)),"")</f>
        <v>1</v>
      </c>
      <c r="E6" s="34" t="n">
        <f aca="false">IFERROR(INDEX('Duration Factors'!$D$4:$D$12,MATCH($B6,'Duration Factors'!$A$4:$A$12,0)),"")</f>
        <v>0.7</v>
      </c>
      <c r="F6" s="4" t="s">
        <v>234</v>
      </c>
      <c r="G6" s="4" t="n">
        <f aca="false">'Target Inputs'!G4</f>
        <v>0</v>
      </c>
      <c r="H6" s="4" t="n">
        <f aca="false">'Target Inputs'!H4</f>
        <v>1</v>
      </c>
      <c r="I6" s="13" t="n">
        <f aca="false">'Target Inputs'!I4</f>
        <v>0.02</v>
      </c>
      <c r="J6" s="10" t="n">
        <f aca="false">'Target Inputs'!J4</f>
        <v>2000000</v>
      </c>
      <c r="K6" s="10" t="n">
        <f aca="false">'Target Inputs'!K4</f>
        <v>5000000</v>
      </c>
      <c r="L6" s="10" t="n">
        <f aca="false">G6*'VSL and Injuries'!$B$4+H6*'VSL and Injuries'!$B$4*I6+J6*'VSL and Injuries'!$K$6</f>
        <v>2354000</v>
      </c>
      <c r="M6" s="10" t="n">
        <f aca="false">K6*'VSL and Injuries'!$K$6*$AG6*E6</f>
        <v>3622500</v>
      </c>
      <c r="N6" s="10" t="n">
        <f aca="false">L6+M6</f>
        <v>5976500</v>
      </c>
      <c r="O6" s="4" t="n">
        <f aca="false">'Target Inputs'!L4</f>
        <v>1</v>
      </c>
      <c r="P6" s="4" t="n">
        <f aca="false">'Target Inputs'!M4</f>
        <v>5</v>
      </c>
      <c r="Q6" s="13" t="n">
        <f aca="false">'Target Inputs'!N4</f>
        <v>0.05</v>
      </c>
      <c r="R6" s="10" t="n">
        <f aca="false">'Target Inputs'!O4</f>
        <v>15000000</v>
      </c>
      <c r="S6" s="10" t="n">
        <f aca="false">'Target Inputs'!P4</f>
        <v>25000000</v>
      </c>
      <c r="T6" s="10" t="n">
        <f aca="false">O6*'VSL and Injuries'!$B$4+P6*'VSL and Injuries'!$B$4*Q6+R6*'VSL and Injuries'!$K$6</f>
        <v>33275000</v>
      </c>
      <c r="U6" s="10" t="n">
        <f aca="false">S6*'VSL and Injuries'!$K$6*$AG6*E6</f>
        <v>18112500</v>
      </c>
      <c r="V6" s="10" t="n">
        <f aca="false">T6+U6</f>
        <v>51387500</v>
      </c>
      <c r="W6" s="4" t="n">
        <f aca="false">'Target Inputs'!Q4</f>
        <v>5</v>
      </c>
      <c r="X6" s="4" t="n">
        <f aca="false">'Target Inputs'!R4</f>
        <v>20</v>
      </c>
      <c r="Y6" s="13" t="n">
        <f aca="false">'Target Inputs'!S4</f>
        <v>0.12</v>
      </c>
      <c r="Z6" s="10" t="n">
        <f aca="false">'Target Inputs'!T4</f>
        <v>100000000</v>
      </c>
      <c r="AA6" s="10" t="n">
        <f aca="false">'Target Inputs'!U4</f>
        <v>100000000</v>
      </c>
      <c r="AB6" s="10" t="n">
        <f aca="false">W6*'VSL and Injuries'!$B$4+X6*'VSL and Injuries'!$B$4*Y6+Z6*'VSL and Injuries'!$K$6</f>
        <v>208580000</v>
      </c>
      <c r="AC6" s="10" t="n">
        <f aca="false">AA6*'VSL and Injuries'!$K$6*$AG6*E6</f>
        <v>72450000</v>
      </c>
      <c r="AD6" s="10" t="n">
        <f aca="false">AB6+AC6</f>
        <v>281030000</v>
      </c>
      <c r="AE6" s="4" t="s">
        <v>378</v>
      </c>
      <c r="AF6" s="4" t="s">
        <v>379</v>
      </c>
      <c r="AG6" s="35" t="n">
        <f aca="false">IFERROR(INDEX('Duration Factors'!$G$4:$G$12,MATCH($B6,'Duration Factors'!$A$4:$A$12,0)),"")</f>
        <v>1</v>
      </c>
    </row>
    <row r="7" customFormat="false" ht="41.25" hidden="false" customHeight="true" outlineLevel="0" collapsed="false">
      <c r="A7" s="4" t="s">
        <v>376</v>
      </c>
      <c r="B7" s="4" t="s">
        <v>409</v>
      </c>
      <c r="C7" s="4" t="n">
        <v>72</v>
      </c>
      <c r="D7" s="34" t="n">
        <f aca="false">IFERROR(INDEX('Duration Factors'!$C$4:$C$12,MATCH($B7,'Duration Factors'!$A$4:$A$12,0)),"")</f>
        <v>3</v>
      </c>
      <c r="E7" s="34" t="n">
        <f aca="false">IFERROR(INDEX('Duration Factors'!$D$4:$D$12,MATCH($B7,'Duration Factors'!$A$4:$A$12,0)),"")</f>
        <v>0.9</v>
      </c>
      <c r="F7" s="4" t="s">
        <v>234</v>
      </c>
      <c r="G7" s="4" t="n">
        <f aca="false">'Target Inputs'!G4</f>
        <v>0</v>
      </c>
      <c r="H7" s="4" t="n">
        <f aca="false">'Target Inputs'!H4</f>
        <v>1</v>
      </c>
      <c r="I7" s="13" t="n">
        <f aca="false">'Target Inputs'!I4</f>
        <v>0.02</v>
      </c>
      <c r="J7" s="10" t="n">
        <f aca="false">'Target Inputs'!J4</f>
        <v>2000000</v>
      </c>
      <c r="K7" s="10" t="n">
        <f aca="false">'Target Inputs'!K4</f>
        <v>5000000</v>
      </c>
      <c r="L7" s="10" t="n">
        <f aca="false">G7*'VSL and Injuries'!$B$4+H7*'VSL and Injuries'!$B$4*I7+J7*'VSL and Injuries'!$K$6</f>
        <v>2354000</v>
      </c>
      <c r="M7" s="10" t="n">
        <f aca="false">K7*'VSL and Injuries'!$K$6*$AG7*E7</f>
        <v>18630000</v>
      </c>
      <c r="N7" s="10" t="n">
        <f aca="false">L7+M7</f>
        <v>20984000</v>
      </c>
      <c r="O7" s="4" t="n">
        <f aca="false">'Target Inputs'!L4</f>
        <v>1</v>
      </c>
      <c r="P7" s="4" t="n">
        <f aca="false">'Target Inputs'!M4</f>
        <v>5</v>
      </c>
      <c r="Q7" s="13" t="n">
        <f aca="false">'Target Inputs'!N4</f>
        <v>0.05</v>
      </c>
      <c r="R7" s="10" t="n">
        <f aca="false">'Target Inputs'!O4</f>
        <v>15000000</v>
      </c>
      <c r="S7" s="10" t="n">
        <f aca="false">'Target Inputs'!P4</f>
        <v>25000000</v>
      </c>
      <c r="T7" s="10" t="n">
        <f aca="false">O7*'VSL and Injuries'!$B$4+P7*'VSL and Injuries'!$B$4*Q7+R7*'VSL and Injuries'!$K$6</f>
        <v>33275000</v>
      </c>
      <c r="U7" s="10" t="n">
        <f aca="false">S7*'VSL and Injuries'!$K$6*$AG7*E7</f>
        <v>93150000</v>
      </c>
      <c r="V7" s="10" t="n">
        <f aca="false">T7+U7</f>
        <v>126425000</v>
      </c>
      <c r="W7" s="4" t="n">
        <f aca="false">'Target Inputs'!Q4</f>
        <v>5</v>
      </c>
      <c r="X7" s="4" t="n">
        <f aca="false">'Target Inputs'!R4</f>
        <v>20</v>
      </c>
      <c r="Y7" s="13" t="n">
        <f aca="false">'Target Inputs'!S4</f>
        <v>0.12</v>
      </c>
      <c r="Z7" s="10" t="n">
        <f aca="false">'Target Inputs'!T4</f>
        <v>100000000</v>
      </c>
      <c r="AA7" s="10" t="n">
        <f aca="false">'Target Inputs'!U4</f>
        <v>100000000</v>
      </c>
      <c r="AB7" s="10" t="n">
        <f aca="false">W7*'VSL and Injuries'!$B$4+X7*'VSL and Injuries'!$B$4*Y7+Z7*'VSL and Injuries'!$K$6</f>
        <v>208580000</v>
      </c>
      <c r="AC7" s="10" t="n">
        <f aca="false">AA7*'VSL and Injuries'!$K$6*$AG7*E7</f>
        <v>372600000</v>
      </c>
      <c r="AD7" s="10" t="n">
        <f aca="false">AB7+AC7</f>
        <v>581180000</v>
      </c>
      <c r="AE7" s="4" t="s">
        <v>378</v>
      </c>
      <c r="AF7" s="4" t="s">
        <v>379</v>
      </c>
      <c r="AG7" s="35" t="n">
        <f aca="false">IFERROR(INDEX('Duration Factors'!$G$4:$G$12,MATCH($B7,'Duration Factors'!$A$4:$A$12,0)),"")</f>
        <v>4</v>
      </c>
    </row>
    <row r="8" customFormat="false" ht="41.25" hidden="false" customHeight="true" outlineLevel="0" collapsed="false">
      <c r="A8" s="4" t="s">
        <v>376</v>
      </c>
      <c r="B8" s="4" t="s">
        <v>411</v>
      </c>
      <c r="C8" s="4" t="n">
        <v>168</v>
      </c>
      <c r="D8" s="34" t="n">
        <f aca="false">IFERROR(INDEX('Duration Factors'!$C$4:$C$12,MATCH($B8,'Duration Factors'!$A$4:$A$12,0)),"")</f>
        <v>7</v>
      </c>
      <c r="E8" s="34" t="n">
        <f aca="false">IFERROR(INDEX('Duration Factors'!$D$4:$D$12,MATCH($B8,'Duration Factors'!$A$4:$A$12,0)),"")</f>
        <v>1</v>
      </c>
      <c r="F8" s="4" t="s">
        <v>234</v>
      </c>
      <c r="G8" s="4" t="n">
        <f aca="false">'Target Inputs'!G4</f>
        <v>0</v>
      </c>
      <c r="H8" s="4" t="n">
        <f aca="false">'Target Inputs'!H4</f>
        <v>1</v>
      </c>
      <c r="I8" s="13" t="n">
        <f aca="false">'Target Inputs'!I4</f>
        <v>0.02</v>
      </c>
      <c r="J8" s="10" t="n">
        <f aca="false">'Target Inputs'!J4</f>
        <v>2000000</v>
      </c>
      <c r="K8" s="10" t="n">
        <f aca="false">'Target Inputs'!K4</f>
        <v>5000000</v>
      </c>
      <c r="L8" s="10" t="n">
        <f aca="false">G8*'VSL and Injuries'!$B$4+H8*'VSL and Injuries'!$B$4*I8+J8*'VSL and Injuries'!$K$6</f>
        <v>2354000</v>
      </c>
      <c r="M8" s="10" t="n">
        <f aca="false">K8*'VSL and Injuries'!$K$6*$AG8*E8</f>
        <v>46575000</v>
      </c>
      <c r="N8" s="10" t="n">
        <f aca="false">L8+M8</f>
        <v>48929000</v>
      </c>
      <c r="O8" s="4" t="n">
        <f aca="false">'Target Inputs'!L4</f>
        <v>1</v>
      </c>
      <c r="P8" s="4" t="n">
        <f aca="false">'Target Inputs'!M4</f>
        <v>5</v>
      </c>
      <c r="Q8" s="13" t="n">
        <f aca="false">'Target Inputs'!N4</f>
        <v>0.05</v>
      </c>
      <c r="R8" s="10" t="n">
        <f aca="false">'Target Inputs'!O4</f>
        <v>15000000</v>
      </c>
      <c r="S8" s="10" t="n">
        <f aca="false">'Target Inputs'!P4</f>
        <v>25000000</v>
      </c>
      <c r="T8" s="10" t="n">
        <f aca="false">O8*'VSL and Injuries'!$B$4+P8*'VSL and Injuries'!$B$4*Q8+R8*'VSL and Injuries'!$K$6</f>
        <v>33275000</v>
      </c>
      <c r="U8" s="10" t="n">
        <f aca="false">S8*'VSL and Injuries'!$K$6*$AG8*E8</f>
        <v>232875000</v>
      </c>
      <c r="V8" s="10" t="n">
        <f aca="false">T8+U8</f>
        <v>266150000</v>
      </c>
      <c r="W8" s="4" t="n">
        <f aca="false">'Target Inputs'!Q4</f>
        <v>5</v>
      </c>
      <c r="X8" s="4" t="n">
        <f aca="false">'Target Inputs'!R4</f>
        <v>20</v>
      </c>
      <c r="Y8" s="13" t="n">
        <f aca="false">'Target Inputs'!S4</f>
        <v>0.12</v>
      </c>
      <c r="Z8" s="10" t="n">
        <f aca="false">'Target Inputs'!T4</f>
        <v>100000000</v>
      </c>
      <c r="AA8" s="10" t="n">
        <f aca="false">'Target Inputs'!U4</f>
        <v>100000000</v>
      </c>
      <c r="AB8" s="10" t="n">
        <f aca="false">W8*'VSL and Injuries'!$B$4+X8*'VSL and Injuries'!$B$4*Y8+Z8*'VSL and Injuries'!$K$6</f>
        <v>208580000</v>
      </c>
      <c r="AC8" s="10" t="n">
        <f aca="false">AA8*'VSL and Injuries'!$K$6*$AG8*E8</f>
        <v>931500000</v>
      </c>
      <c r="AD8" s="10" t="n">
        <f aca="false">AB8+AC8</f>
        <v>1140080000</v>
      </c>
      <c r="AE8" s="4" t="s">
        <v>378</v>
      </c>
      <c r="AF8" s="4" t="s">
        <v>379</v>
      </c>
      <c r="AG8" s="35" t="n">
        <f aca="false">IFERROR(INDEX('Duration Factors'!$G$4:$G$12,MATCH($B8,'Duration Factors'!$A$4:$A$12,0)),"")</f>
        <v>9</v>
      </c>
    </row>
    <row r="9" customFormat="false" ht="41.25" hidden="false" customHeight="true" outlineLevel="0" collapsed="false">
      <c r="A9" s="4" t="s">
        <v>376</v>
      </c>
      <c r="B9" s="4" t="s">
        <v>413</v>
      </c>
      <c r="C9" s="4" t="n">
        <v>336</v>
      </c>
      <c r="D9" s="34" t="n">
        <f aca="false">IFERROR(INDEX('Duration Factors'!$C$4:$C$12,MATCH($B9,'Duration Factors'!$A$4:$A$12,0)),"")</f>
        <v>14</v>
      </c>
      <c r="E9" s="34" t="n">
        <f aca="false">IFERROR(INDEX('Duration Factors'!$D$4:$D$12,MATCH($B9,'Duration Factors'!$A$4:$A$12,0)),"")</f>
        <v>1.1</v>
      </c>
      <c r="F9" s="4" t="s">
        <v>234</v>
      </c>
      <c r="G9" s="4" t="n">
        <f aca="false">'Target Inputs'!G4</f>
        <v>0</v>
      </c>
      <c r="H9" s="4" t="n">
        <f aca="false">'Target Inputs'!H4</f>
        <v>1</v>
      </c>
      <c r="I9" s="13" t="n">
        <f aca="false">'Target Inputs'!I4</f>
        <v>0.02</v>
      </c>
      <c r="J9" s="10" t="n">
        <f aca="false">'Target Inputs'!J4</f>
        <v>2000000</v>
      </c>
      <c r="K9" s="10" t="n">
        <f aca="false">'Target Inputs'!K4</f>
        <v>5000000</v>
      </c>
      <c r="L9" s="10" t="n">
        <f aca="false">G9*'VSL and Injuries'!$B$4+H9*'VSL and Injuries'!$B$4*I9+J9*'VSL and Injuries'!$K$6</f>
        <v>2354000</v>
      </c>
      <c r="M9" s="10" t="n">
        <f aca="false">K9*'VSL and Injuries'!$K$6*$AG9*E9</f>
        <v>96772500</v>
      </c>
      <c r="N9" s="10" t="n">
        <f aca="false">L9+M9</f>
        <v>99126500</v>
      </c>
      <c r="O9" s="4" t="n">
        <f aca="false">'Target Inputs'!L4</f>
        <v>1</v>
      </c>
      <c r="P9" s="4" t="n">
        <f aca="false">'Target Inputs'!M4</f>
        <v>5</v>
      </c>
      <c r="Q9" s="13" t="n">
        <f aca="false">'Target Inputs'!N4</f>
        <v>0.05</v>
      </c>
      <c r="R9" s="10" t="n">
        <f aca="false">'Target Inputs'!O4</f>
        <v>15000000</v>
      </c>
      <c r="S9" s="10" t="n">
        <f aca="false">'Target Inputs'!P4</f>
        <v>25000000</v>
      </c>
      <c r="T9" s="10" t="n">
        <f aca="false">O9*'VSL and Injuries'!$B$4+P9*'VSL and Injuries'!$B$4*Q9+R9*'VSL and Injuries'!$K$6</f>
        <v>33275000</v>
      </c>
      <c r="U9" s="10" t="n">
        <f aca="false">S9*'VSL and Injuries'!$K$6*$AG9*E9</f>
        <v>483862500</v>
      </c>
      <c r="V9" s="10" t="n">
        <f aca="false">T9+U9</f>
        <v>517137500</v>
      </c>
      <c r="W9" s="4" t="n">
        <f aca="false">'Target Inputs'!Q4</f>
        <v>5</v>
      </c>
      <c r="X9" s="4" t="n">
        <f aca="false">'Target Inputs'!R4</f>
        <v>20</v>
      </c>
      <c r="Y9" s="13" t="n">
        <f aca="false">'Target Inputs'!S4</f>
        <v>0.12</v>
      </c>
      <c r="Z9" s="10" t="n">
        <f aca="false">'Target Inputs'!T4</f>
        <v>100000000</v>
      </c>
      <c r="AA9" s="10" t="n">
        <f aca="false">'Target Inputs'!U4</f>
        <v>100000000</v>
      </c>
      <c r="AB9" s="10" t="n">
        <f aca="false">W9*'VSL and Injuries'!$B$4+X9*'VSL and Injuries'!$B$4*Y9+Z9*'VSL and Injuries'!$K$6</f>
        <v>208580000</v>
      </c>
      <c r="AC9" s="10" t="n">
        <f aca="false">AA9*'VSL and Injuries'!$K$6*$AG9*E9</f>
        <v>1935450000</v>
      </c>
      <c r="AD9" s="10" t="n">
        <f aca="false">AB9+AC9</f>
        <v>2144030000</v>
      </c>
      <c r="AE9" s="4" t="s">
        <v>378</v>
      </c>
      <c r="AF9" s="4" t="s">
        <v>379</v>
      </c>
      <c r="AG9" s="35" t="n">
        <f aca="false">IFERROR(INDEX('Duration Factors'!$G$4:$G$12,MATCH($B9,'Duration Factors'!$A$4:$A$12,0)),"")</f>
        <v>17</v>
      </c>
    </row>
    <row r="10" customFormat="false" ht="41.25" hidden="false" customHeight="true" outlineLevel="0" collapsed="false">
      <c r="A10" s="4" t="s">
        <v>376</v>
      </c>
      <c r="B10" s="4" t="s">
        <v>415</v>
      </c>
      <c r="C10" s="4" t="n">
        <v>720</v>
      </c>
      <c r="D10" s="34" t="n">
        <f aca="false">IFERROR(INDEX('Duration Factors'!$C$4:$C$12,MATCH($B10,'Duration Factors'!$A$4:$A$12,0)),"")</f>
        <v>30</v>
      </c>
      <c r="E10" s="34" t="n">
        <f aca="false">IFERROR(INDEX('Duration Factors'!$D$4:$D$12,MATCH($B10,'Duration Factors'!$A$4:$A$12,0)),"")</f>
        <v>1.2</v>
      </c>
      <c r="F10" s="4" t="s">
        <v>234</v>
      </c>
      <c r="G10" s="4" t="n">
        <f aca="false">'Target Inputs'!G4</f>
        <v>0</v>
      </c>
      <c r="H10" s="4" t="n">
        <f aca="false">'Target Inputs'!H4</f>
        <v>1</v>
      </c>
      <c r="I10" s="13" t="n">
        <f aca="false">'Target Inputs'!I4</f>
        <v>0.02</v>
      </c>
      <c r="J10" s="10" t="n">
        <f aca="false">'Target Inputs'!J4</f>
        <v>2000000</v>
      </c>
      <c r="K10" s="10" t="n">
        <f aca="false">'Target Inputs'!K4</f>
        <v>5000000</v>
      </c>
      <c r="L10" s="10" t="n">
        <f aca="false">G10*'VSL and Injuries'!$B$4+H10*'VSL and Injuries'!$B$4*I10+J10*'VSL and Injuries'!$K$6</f>
        <v>2354000</v>
      </c>
      <c r="M10" s="10" t="n">
        <f aca="false">K10*'VSL and Injuries'!$K$6*$AG10*E10</f>
        <v>217350000</v>
      </c>
      <c r="N10" s="10" t="n">
        <f aca="false">L10+M10</f>
        <v>219704000</v>
      </c>
      <c r="O10" s="4" t="n">
        <f aca="false">'Target Inputs'!L4</f>
        <v>1</v>
      </c>
      <c r="P10" s="4" t="n">
        <f aca="false">'Target Inputs'!M4</f>
        <v>5</v>
      </c>
      <c r="Q10" s="13" t="n">
        <f aca="false">'Target Inputs'!N4</f>
        <v>0.05</v>
      </c>
      <c r="R10" s="10" t="n">
        <f aca="false">'Target Inputs'!O4</f>
        <v>15000000</v>
      </c>
      <c r="S10" s="10" t="n">
        <f aca="false">'Target Inputs'!P4</f>
        <v>25000000</v>
      </c>
      <c r="T10" s="10" t="n">
        <f aca="false">O10*'VSL and Injuries'!$B$4+P10*'VSL and Injuries'!$B$4*Q10+R10*'VSL and Injuries'!$K$6</f>
        <v>33275000</v>
      </c>
      <c r="U10" s="10" t="n">
        <f aca="false">S10*'VSL and Injuries'!$K$6*$AG10*E10</f>
        <v>1086750000</v>
      </c>
      <c r="V10" s="10" t="n">
        <f aca="false">T10+U10</f>
        <v>1120025000</v>
      </c>
      <c r="W10" s="4" t="n">
        <f aca="false">'Target Inputs'!Q4</f>
        <v>5</v>
      </c>
      <c r="X10" s="4" t="n">
        <f aca="false">'Target Inputs'!R4</f>
        <v>20</v>
      </c>
      <c r="Y10" s="13" t="n">
        <f aca="false">'Target Inputs'!S4</f>
        <v>0.12</v>
      </c>
      <c r="Z10" s="10" t="n">
        <f aca="false">'Target Inputs'!T4</f>
        <v>100000000</v>
      </c>
      <c r="AA10" s="10" t="n">
        <f aca="false">'Target Inputs'!U4</f>
        <v>100000000</v>
      </c>
      <c r="AB10" s="10" t="n">
        <f aca="false">W10*'VSL and Injuries'!$B$4+X10*'VSL and Injuries'!$B$4*Y10+Z10*'VSL and Injuries'!$K$6</f>
        <v>208580000</v>
      </c>
      <c r="AC10" s="10" t="n">
        <f aca="false">AA10*'VSL and Injuries'!$K$6*$AG10*E10</f>
        <v>4347000000</v>
      </c>
      <c r="AD10" s="10" t="n">
        <f aca="false">AB10+AC10</f>
        <v>4555580000</v>
      </c>
      <c r="AE10" s="4" t="s">
        <v>378</v>
      </c>
      <c r="AF10" s="4" t="s">
        <v>379</v>
      </c>
      <c r="AG10" s="35" t="n">
        <f aca="false">IFERROR(INDEX('Duration Factors'!$G$4:$G$12,MATCH($B10,'Duration Factors'!$A$4:$A$12,0)),"")</f>
        <v>35</v>
      </c>
    </row>
    <row r="11" customFormat="false" ht="27.75" hidden="false" customHeight="true" outlineLevel="0" collapsed="false">
      <c r="A11" s="4" t="s">
        <v>376</v>
      </c>
      <c r="B11" s="4" t="s">
        <v>417</v>
      </c>
      <c r="C11" s="4" t="n">
        <v>1080</v>
      </c>
      <c r="D11" s="34" t="n">
        <f aca="false">IFERROR(INDEX('Duration Factors'!$C$4:$C$12,MATCH($B11,'Duration Factors'!$A$4:$A$12,0)),"")</f>
        <v>45</v>
      </c>
      <c r="E11" s="34" t="n">
        <f aca="false">IFERROR(INDEX('Duration Factors'!$D$4:$D$12,MATCH($B11,'Duration Factors'!$A$4:$A$12,0)),"")</f>
        <v>1.3</v>
      </c>
      <c r="F11" s="4" t="s">
        <v>234</v>
      </c>
      <c r="G11" s="4" t="n">
        <f aca="false">'Target Inputs'!G4</f>
        <v>0</v>
      </c>
      <c r="H11" s="4" t="n">
        <f aca="false">'Target Inputs'!H4</f>
        <v>1</v>
      </c>
      <c r="I11" s="13" t="n">
        <f aca="false">'Target Inputs'!I4</f>
        <v>0.02</v>
      </c>
      <c r="J11" s="10" t="n">
        <f aca="false">'Target Inputs'!J4</f>
        <v>2000000</v>
      </c>
      <c r="K11" s="10" t="n">
        <f aca="false">'Target Inputs'!K4</f>
        <v>5000000</v>
      </c>
      <c r="L11" s="10" t="n">
        <f aca="false">G11*'VSL and Injuries'!$B$4+H11*'VSL and Injuries'!$B$4*I11+J11*'VSL and Injuries'!$K$6</f>
        <v>2354000</v>
      </c>
      <c r="M11" s="10" t="n">
        <f aca="false">K11*'VSL and Injuries'!$K$6*$AG11*E11</f>
        <v>370012500</v>
      </c>
      <c r="N11" s="10" t="n">
        <f aca="false">L11+M11</f>
        <v>372366500</v>
      </c>
      <c r="O11" s="4" t="n">
        <f aca="false">'Target Inputs'!L4</f>
        <v>1</v>
      </c>
      <c r="P11" s="4" t="n">
        <f aca="false">'Target Inputs'!M4</f>
        <v>5</v>
      </c>
      <c r="Q11" s="13" t="n">
        <f aca="false">'Target Inputs'!N4</f>
        <v>0.05</v>
      </c>
      <c r="R11" s="10" t="n">
        <f aca="false">'Target Inputs'!O4</f>
        <v>15000000</v>
      </c>
      <c r="S11" s="10" t="n">
        <f aca="false">'Target Inputs'!P4</f>
        <v>25000000</v>
      </c>
      <c r="T11" s="10" t="n">
        <f aca="false">O11*'VSL and Injuries'!$B$4+P11*'VSL and Injuries'!$B$4*Q11+R11*'VSL and Injuries'!$K$6</f>
        <v>33275000</v>
      </c>
      <c r="U11" s="10" t="n">
        <f aca="false">S11*'VSL and Injuries'!$K$6*$AG11*E11</f>
        <v>1850062500</v>
      </c>
      <c r="V11" s="10" t="n">
        <f aca="false">T11+U11</f>
        <v>1883337500</v>
      </c>
      <c r="W11" s="4" t="n">
        <f aca="false">'Target Inputs'!Q4</f>
        <v>5</v>
      </c>
      <c r="X11" s="4" t="n">
        <f aca="false">'Target Inputs'!R4</f>
        <v>20</v>
      </c>
      <c r="Y11" s="13" t="n">
        <f aca="false">'Target Inputs'!S4</f>
        <v>0.12</v>
      </c>
      <c r="Z11" s="10" t="n">
        <f aca="false">'Target Inputs'!T4</f>
        <v>100000000</v>
      </c>
      <c r="AA11" s="10" t="n">
        <f aca="false">'Target Inputs'!U4</f>
        <v>100000000</v>
      </c>
      <c r="AB11" s="10" t="n">
        <f aca="false">W11*'VSL and Injuries'!$B$4+X11*'VSL and Injuries'!$B$4*Y11+Z11*'VSL and Injuries'!$K$6</f>
        <v>208580000</v>
      </c>
      <c r="AC11" s="10" t="n">
        <f aca="false">AA11*'VSL and Injuries'!$K$6*$AG11*E11</f>
        <v>7400250000</v>
      </c>
      <c r="AD11" s="10" t="n">
        <f aca="false">AB11+AC11</f>
        <v>7608830000</v>
      </c>
      <c r="AE11" s="4" t="s">
        <v>378</v>
      </c>
      <c r="AF11" s="4" t="s">
        <v>379</v>
      </c>
      <c r="AG11" s="35" t="n">
        <f aca="false">IFERROR(INDEX('Duration Factors'!$G$4:$G$12,MATCH($B11,'Duration Factors'!$A$4:$A$12,0)),"")</f>
        <v>55</v>
      </c>
    </row>
    <row r="12" customFormat="false" ht="27.75" hidden="false" customHeight="true" outlineLevel="0" collapsed="false">
      <c r="A12" s="4" t="s">
        <v>376</v>
      </c>
      <c r="B12" s="4" t="s">
        <v>419</v>
      </c>
      <c r="C12" s="4" t="n">
        <v>2160</v>
      </c>
      <c r="D12" s="34" t="n">
        <f aca="false">IFERROR(INDEX('Duration Factors'!$C$4:$C$12,MATCH($B12,'Duration Factors'!$A$4:$A$12,0)),"")</f>
        <v>90</v>
      </c>
      <c r="E12" s="34" t="n">
        <f aca="false">IFERROR(INDEX('Duration Factors'!$D$4:$D$12,MATCH($B12,'Duration Factors'!$A$4:$A$12,0)),"")</f>
        <v>1.4</v>
      </c>
      <c r="F12" s="4" t="s">
        <v>234</v>
      </c>
      <c r="G12" s="4" t="n">
        <f aca="false">'Target Inputs'!G4</f>
        <v>0</v>
      </c>
      <c r="H12" s="4" t="n">
        <f aca="false">'Target Inputs'!H4</f>
        <v>1</v>
      </c>
      <c r="I12" s="13" t="n">
        <f aca="false">'Target Inputs'!I4</f>
        <v>0.02</v>
      </c>
      <c r="J12" s="10" t="n">
        <f aca="false">'Target Inputs'!J4</f>
        <v>2000000</v>
      </c>
      <c r="K12" s="10" t="n">
        <f aca="false">'Target Inputs'!K4</f>
        <v>5000000</v>
      </c>
      <c r="L12" s="10" t="n">
        <f aca="false">G12*'VSL and Injuries'!$B$4+H12*'VSL and Injuries'!$B$4*I12+J12*'VSL and Injuries'!$K$6</f>
        <v>2354000</v>
      </c>
      <c r="M12" s="10" t="n">
        <f aca="false">K12*'VSL and Injuries'!$K$6*$AG12*E12</f>
        <v>796950000</v>
      </c>
      <c r="N12" s="10" t="n">
        <f aca="false">L12+M12</f>
        <v>799304000</v>
      </c>
      <c r="O12" s="4" t="n">
        <f aca="false">'Target Inputs'!L4</f>
        <v>1</v>
      </c>
      <c r="P12" s="4" t="n">
        <f aca="false">'Target Inputs'!M4</f>
        <v>5</v>
      </c>
      <c r="Q12" s="13" t="n">
        <f aca="false">'Target Inputs'!N4</f>
        <v>0.05</v>
      </c>
      <c r="R12" s="10" t="n">
        <f aca="false">'Target Inputs'!O4</f>
        <v>15000000</v>
      </c>
      <c r="S12" s="10" t="n">
        <f aca="false">'Target Inputs'!P4</f>
        <v>25000000</v>
      </c>
      <c r="T12" s="10" t="n">
        <f aca="false">O12*'VSL and Injuries'!$B$4+P12*'VSL and Injuries'!$B$4*Q12+R12*'VSL and Injuries'!$K$6</f>
        <v>33275000</v>
      </c>
      <c r="U12" s="10" t="n">
        <f aca="false">S12*'VSL and Injuries'!$K$6*$AG12*E12</f>
        <v>3984750000</v>
      </c>
      <c r="V12" s="10" t="n">
        <f aca="false">T12+U12</f>
        <v>4018025000</v>
      </c>
      <c r="W12" s="4" t="n">
        <f aca="false">'Target Inputs'!Q4</f>
        <v>5</v>
      </c>
      <c r="X12" s="4" t="n">
        <f aca="false">'Target Inputs'!R4</f>
        <v>20</v>
      </c>
      <c r="Y12" s="13" t="n">
        <f aca="false">'Target Inputs'!S4</f>
        <v>0.12</v>
      </c>
      <c r="Z12" s="10" t="n">
        <f aca="false">'Target Inputs'!T4</f>
        <v>100000000</v>
      </c>
      <c r="AA12" s="10" t="n">
        <f aca="false">'Target Inputs'!U4</f>
        <v>100000000</v>
      </c>
      <c r="AB12" s="10" t="n">
        <f aca="false">W12*'VSL and Injuries'!$B$4+X12*'VSL and Injuries'!$B$4*Y12+Z12*'VSL and Injuries'!$K$6</f>
        <v>208580000</v>
      </c>
      <c r="AC12" s="10" t="n">
        <f aca="false">AA12*'VSL and Injuries'!$K$6*$AG12*E12</f>
        <v>15939000000</v>
      </c>
      <c r="AD12" s="10" t="n">
        <f aca="false">AB12+AC12</f>
        <v>16147580000</v>
      </c>
      <c r="AE12" s="4" t="s">
        <v>378</v>
      </c>
      <c r="AF12" s="4" t="s">
        <v>379</v>
      </c>
      <c r="AG12" s="35" t="n">
        <f aca="false">IFERROR(INDEX('Duration Factors'!$G$4:$G$12,MATCH($B12,'Duration Factors'!$A$4:$A$12,0)),"")</f>
        <v>110</v>
      </c>
    </row>
    <row r="13" customFormat="false" ht="27.75" hidden="false" customHeight="true" outlineLevel="0" collapsed="false">
      <c r="A13" s="4" t="s">
        <v>380</v>
      </c>
      <c r="B13" s="4" t="s">
        <v>404</v>
      </c>
      <c r="C13" s="4" t="n">
        <v>4</v>
      </c>
      <c r="D13" s="34" t="n">
        <f aca="false">IFERROR(INDEX('Duration Factors'!$C$4:$C$12,MATCH($B13,'Duration Factors'!$A$4:$A$12,0)),"")</f>
        <v>0.166666666666667</v>
      </c>
      <c r="E13" s="34" t="n">
        <f aca="false">IFERROR(INDEX('Duration Factors'!$D$4:$D$12,MATCH($B13,'Duration Factors'!$A$4:$A$12,0)),"")</f>
        <v>0.35</v>
      </c>
      <c r="F13" s="4" t="s">
        <v>223</v>
      </c>
      <c r="G13" s="4" t="n">
        <f aca="false">'Target Inputs'!G5</f>
        <v>0</v>
      </c>
      <c r="H13" s="4" t="n">
        <f aca="false">'Target Inputs'!H5</f>
        <v>1</v>
      </c>
      <c r="I13" s="13" t="n">
        <f aca="false">'Target Inputs'!I5</f>
        <v>0.02</v>
      </c>
      <c r="J13" s="10" t="n">
        <f aca="false">'Target Inputs'!J5</f>
        <v>1000000</v>
      </c>
      <c r="K13" s="10" t="n">
        <f aca="false">'Target Inputs'!K5</f>
        <v>3000000</v>
      </c>
      <c r="L13" s="10" t="n">
        <f aca="false">G13*'VSL and Injuries'!$B$4+H13*'VSL and Injuries'!$B$4*I13+J13*'VSL and Injuries'!$K$6</f>
        <v>1319000</v>
      </c>
      <c r="M13" s="10" t="n">
        <f aca="false">K13*'VSL and Injuries'!$K$6*$AG13*E13</f>
        <v>181125</v>
      </c>
      <c r="N13" s="10" t="n">
        <f aca="false">L13+M13</f>
        <v>1500125</v>
      </c>
      <c r="O13" s="4" t="n">
        <f aca="false">'Target Inputs'!L5</f>
        <v>1</v>
      </c>
      <c r="P13" s="4" t="n">
        <f aca="false">'Target Inputs'!M5</f>
        <v>4</v>
      </c>
      <c r="Q13" s="13" t="n">
        <f aca="false">'Target Inputs'!N5</f>
        <v>0.05</v>
      </c>
      <c r="R13" s="10" t="n">
        <f aca="false">'Target Inputs'!O5</f>
        <v>8000000</v>
      </c>
      <c r="S13" s="10" t="n">
        <f aca="false">'Target Inputs'!P5</f>
        <v>15000000</v>
      </c>
      <c r="T13" s="10" t="n">
        <f aca="false">O13*'VSL and Injuries'!$B$4+P13*'VSL and Injuries'!$B$4*Q13+R13*'VSL and Injuries'!$K$6</f>
        <v>25320000</v>
      </c>
      <c r="U13" s="10" t="n">
        <f aca="false">S13*'VSL and Injuries'!$K$6*$AG13*E13</f>
        <v>905625.000000002</v>
      </c>
      <c r="V13" s="10" t="n">
        <f aca="false">T13+U13</f>
        <v>26225625</v>
      </c>
      <c r="W13" s="4" t="n">
        <f aca="false">'Target Inputs'!Q5</f>
        <v>4</v>
      </c>
      <c r="X13" s="4" t="n">
        <f aca="false">'Target Inputs'!R5</f>
        <v>15</v>
      </c>
      <c r="Y13" s="13" t="n">
        <f aca="false">'Target Inputs'!S5</f>
        <v>0.12</v>
      </c>
      <c r="Z13" s="10" t="n">
        <f aca="false">'Target Inputs'!T5</f>
        <v>50000000</v>
      </c>
      <c r="AA13" s="10" t="n">
        <f aca="false">'Target Inputs'!U5</f>
        <v>60000000</v>
      </c>
      <c r="AB13" s="10" t="n">
        <f aca="false">W13*'VSL and Injuries'!$B$4+X13*'VSL and Injuries'!$B$4*Y13+Z13*'VSL and Injuries'!$K$6</f>
        <v>134110000</v>
      </c>
      <c r="AC13" s="10" t="n">
        <f aca="false">AA13*'VSL and Injuries'!$K$6*$AG13*E13</f>
        <v>3622500.00000001</v>
      </c>
      <c r="AD13" s="10" t="n">
        <f aca="false">AB13+AC13</f>
        <v>137732500</v>
      </c>
      <c r="AE13" s="4" t="s">
        <v>382</v>
      </c>
      <c r="AF13" s="4" t="s">
        <v>383</v>
      </c>
      <c r="AG13" s="35" t="n">
        <f aca="false">IFERROR(INDEX('Duration Factors'!$G$4:$G$12,MATCH($B13,'Duration Factors'!$A$4:$A$12,0)),"")</f>
        <v>0.166666666666667</v>
      </c>
    </row>
    <row r="14" customFormat="false" ht="27.75" hidden="false" customHeight="true" outlineLevel="0" collapsed="false">
      <c r="A14" s="4" t="s">
        <v>380</v>
      </c>
      <c r="B14" s="4" t="s">
        <v>406</v>
      </c>
      <c r="C14" s="4" t="n">
        <v>12</v>
      </c>
      <c r="D14" s="34" t="n">
        <f aca="false">IFERROR(INDEX('Duration Factors'!$C$4:$C$12,MATCH($B14,'Duration Factors'!$A$4:$A$12,0)),"")</f>
        <v>0.5</v>
      </c>
      <c r="E14" s="34" t="n">
        <f aca="false">IFERROR(INDEX('Duration Factors'!$D$4:$D$12,MATCH($B14,'Duration Factors'!$A$4:$A$12,0)),"")</f>
        <v>0.55</v>
      </c>
      <c r="F14" s="4" t="s">
        <v>223</v>
      </c>
      <c r="G14" s="4" t="n">
        <f aca="false">'Target Inputs'!G5</f>
        <v>0</v>
      </c>
      <c r="H14" s="4" t="n">
        <f aca="false">'Target Inputs'!H5</f>
        <v>1</v>
      </c>
      <c r="I14" s="13" t="n">
        <f aca="false">'Target Inputs'!I5</f>
        <v>0.02</v>
      </c>
      <c r="J14" s="10" t="n">
        <f aca="false">'Target Inputs'!J5</f>
        <v>1000000</v>
      </c>
      <c r="K14" s="10" t="n">
        <f aca="false">'Target Inputs'!K5</f>
        <v>3000000</v>
      </c>
      <c r="L14" s="10" t="n">
        <f aca="false">G14*'VSL and Injuries'!$B$4+H14*'VSL and Injuries'!$B$4*I14+J14*'VSL and Injuries'!$K$6</f>
        <v>1319000</v>
      </c>
      <c r="M14" s="10" t="n">
        <f aca="false">K14*'VSL and Injuries'!$K$6*$AG14*E14</f>
        <v>853875</v>
      </c>
      <c r="N14" s="10" t="n">
        <f aca="false">L14+M14</f>
        <v>2172875</v>
      </c>
      <c r="O14" s="4" t="n">
        <f aca="false">'Target Inputs'!L5</f>
        <v>1</v>
      </c>
      <c r="P14" s="4" t="n">
        <f aca="false">'Target Inputs'!M5</f>
        <v>4</v>
      </c>
      <c r="Q14" s="13" t="n">
        <f aca="false">'Target Inputs'!N5</f>
        <v>0.05</v>
      </c>
      <c r="R14" s="10" t="n">
        <f aca="false">'Target Inputs'!O5</f>
        <v>8000000</v>
      </c>
      <c r="S14" s="10" t="n">
        <f aca="false">'Target Inputs'!P5</f>
        <v>15000000</v>
      </c>
      <c r="T14" s="10" t="n">
        <f aca="false">O14*'VSL and Injuries'!$B$4+P14*'VSL and Injuries'!$B$4*Q14+R14*'VSL and Injuries'!$K$6</f>
        <v>25320000</v>
      </c>
      <c r="U14" s="10" t="n">
        <f aca="false">S14*'VSL and Injuries'!$K$6*$AG14*E14</f>
        <v>4269375</v>
      </c>
      <c r="V14" s="10" t="n">
        <f aca="false">T14+U14</f>
        <v>29589375</v>
      </c>
      <c r="W14" s="4" t="n">
        <f aca="false">'Target Inputs'!Q5</f>
        <v>4</v>
      </c>
      <c r="X14" s="4" t="n">
        <f aca="false">'Target Inputs'!R5</f>
        <v>15</v>
      </c>
      <c r="Y14" s="13" t="n">
        <f aca="false">'Target Inputs'!S5</f>
        <v>0.12</v>
      </c>
      <c r="Z14" s="10" t="n">
        <f aca="false">'Target Inputs'!T5</f>
        <v>50000000</v>
      </c>
      <c r="AA14" s="10" t="n">
        <f aca="false">'Target Inputs'!U5</f>
        <v>60000000</v>
      </c>
      <c r="AB14" s="10" t="n">
        <f aca="false">W14*'VSL and Injuries'!$B$4+X14*'VSL and Injuries'!$B$4*Y14+Z14*'VSL and Injuries'!$K$6</f>
        <v>134110000</v>
      </c>
      <c r="AC14" s="10" t="n">
        <f aca="false">AA14*'VSL and Injuries'!$K$6*$AG14*E14</f>
        <v>17077500</v>
      </c>
      <c r="AD14" s="10" t="n">
        <f aca="false">AB14+AC14</f>
        <v>151187500</v>
      </c>
      <c r="AE14" s="4" t="s">
        <v>382</v>
      </c>
      <c r="AF14" s="4" t="s">
        <v>383</v>
      </c>
      <c r="AG14" s="35" t="n">
        <f aca="false">IFERROR(INDEX('Duration Factors'!$G$4:$G$12,MATCH($B14,'Duration Factors'!$A$4:$A$12,0)),"")</f>
        <v>0.5</v>
      </c>
    </row>
    <row r="15" customFormat="false" ht="27.75" hidden="false" customHeight="true" outlineLevel="0" collapsed="false">
      <c r="A15" s="4" t="s">
        <v>380</v>
      </c>
      <c r="B15" s="4" t="s">
        <v>407</v>
      </c>
      <c r="C15" s="4" t="n">
        <v>24</v>
      </c>
      <c r="D15" s="34" t="n">
        <f aca="false">IFERROR(INDEX('Duration Factors'!$C$4:$C$12,MATCH($B15,'Duration Factors'!$A$4:$A$12,0)),"")</f>
        <v>1</v>
      </c>
      <c r="E15" s="34" t="n">
        <f aca="false">IFERROR(INDEX('Duration Factors'!$D$4:$D$12,MATCH($B15,'Duration Factors'!$A$4:$A$12,0)),"")</f>
        <v>0.7</v>
      </c>
      <c r="F15" s="4" t="s">
        <v>223</v>
      </c>
      <c r="G15" s="4" t="n">
        <f aca="false">'Target Inputs'!G5</f>
        <v>0</v>
      </c>
      <c r="H15" s="4" t="n">
        <f aca="false">'Target Inputs'!H5</f>
        <v>1</v>
      </c>
      <c r="I15" s="13" t="n">
        <f aca="false">'Target Inputs'!I5</f>
        <v>0.02</v>
      </c>
      <c r="J15" s="10" t="n">
        <f aca="false">'Target Inputs'!J5</f>
        <v>1000000</v>
      </c>
      <c r="K15" s="10" t="n">
        <f aca="false">'Target Inputs'!K5</f>
        <v>3000000</v>
      </c>
      <c r="L15" s="10" t="n">
        <f aca="false">G15*'VSL and Injuries'!$B$4+H15*'VSL and Injuries'!$B$4*I15+J15*'VSL and Injuries'!$K$6</f>
        <v>1319000</v>
      </c>
      <c r="M15" s="10" t="n">
        <f aca="false">K15*'VSL and Injuries'!$K$6*$AG15*E15</f>
        <v>2173500</v>
      </c>
      <c r="N15" s="10" t="n">
        <f aca="false">L15+M15</f>
        <v>3492500</v>
      </c>
      <c r="O15" s="4" t="n">
        <f aca="false">'Target Inputs'!L5</f>
        <v>1</v>
      </c>
      <c r="P15" s="4" t="n">
        <f aca="false">'Target Inputs'!M5</f>
        <v>4</v>
      </c>
      <c r="Q15" s="13" t="n">
        <f aca="false">'Target Inputs'!N5</f>
        <v>0.05</v>
      </c>
      <c r="R15" s="10" t="n">
        <f aca="false">'Target Inputs'!O5</f>
        <v>8000000</v>
      </c>
      <c r="S15" s="10" t="n">
        <f aca="false">'Target Inputs'!P5</f>
        <v>15000000</v>
      </c>
      <c r="T15" s="10" t="n">
        <f aca="false">O15*'VSL and Injuries'!$B$4+P15*'VSL and Injuries'!$B$4*Q15+R15*'VSL and Injuries'!$K$6</f>
        <v>25320000</v>
      </c>
      <c r="U15" s="10" t="n">
        <f aca="false">S15*'VSL and Injuries'!$K$6*$AG15*E15</f>
        <v>10867500</v>
      </c>
      <c r="V15" s="10" t="n">
        <f aca="false">T15+U15</f>
        <v>36187500</v>
      </c>
      <c r="W15" s="4" t="n">
        <f aca="false">'Target Inputs'!Q5</f>
        <v>4</v>
      </c>
      <c r="X15" s="4" t="n">
        <f aca="false">'Target Inputs'!R5</f>
        <v>15</v>
      </c>
      <c r="Y15" s="13" t="n">
        <f aca="false">'Target Inputs'!S5</f>
        <v>0.12</v>
      </c>
      <c r="Z15" s="10" t="n">
        <f aca="false">'Target Inputs'!T5</f>
        <v>50000000</v>
      </c>
      <c r="AA15" s="10" t="n">
        <f aca="false">'Target Inputs'!U5</f>
        <v>60000000</v>
      </c>
      <c r="AB15" s="10" t="n">
        <f aca="false">W15*'VSL and Injuries'!$B$4+X15*'VSL and Injuries'!$B$4*Y15+Z15*'VSL and Injuries'!$K$6</f>
        <v>134110000</v>
      </c>
      <c r="AC15" s="10" t="n">
        <f aca="false">AA15*'VSL and Injuries'!$K$6*$AG15*E15</f>
        <v>43470000</v>
      </c>
      <c r="AD15" s="10" t="n">
        <f aca="false">AB15+AC15</f>
        <v>177580000</v>
      </c>
      <c r="AE15" s="4" t="s">
        <v>382</v>
      </c>
      <c r="AF15" s="4" t="s">
        <v>383</v>
      </c>
      <c r="AG15" s="35" t="n">
        <f aca="false">IFERROR(INDEX('Duration Factors'!$G$4:$G$12,MATCH($B15,'Duration Factors'!$A$4:$A$12,0)),"")</f>
        <v>1</v>
      </c>
    </row>
    <row r="16" customFormat="false" ht="27.75" hidden="false" customHeight="true" outlineLevel="0" collapsed="false">
      <c r="A16" s="4" t="s">
        <v>380</v>
      </c>
      <c r="B16" s="4" t="s">
        <v>409</v>
      </c>
      <c r="C16" s="4" t="n">
        <v>72</v>
      </c>
      <c r="D16" s="34" t="n">
        <f aca="false">IFERROR(INDEX('Duration Factors'!$C$4:$C$12,MATCH($B16,'Duration Factors'!$A$4:$A$12,0)),"")</f>
        <v>3</v>
      </c>
      <c r="E16" s="34" t="n">
        <f aca="false">IFERROR(INDEX('Duration Factors'!$D$4:$D$12,MATCH($B16,'Duration Factors'!$A$4:$A$12,0)),"")</f>
        <v>0.9</v>
      </c>
      <c r="F16" s="4" t="s">
        <v>223</v>
      </c>
      <c r="G16" s="4" t="n">
        <f aca="false">'Target Inputs'!G5</f>
        <v>0</v>
      </c>
      <c r="H16" s="4" t="n">
        <f aca="false">'Target Inputs'!H5</f>
        <v>1</v>
      </c>
      <c r="I16" s="13" t="n">
        <f aca="false">'Target Inputs'!I5</f>
        <v>0.02</v>
      </c>
      <c r="J16" s="10" t="n">
        <f aca="false">'Target Inputs'!J5</f>
        <v>1000000</v>
      </c>
      <c r="K16" s="10" t="n">
        <f aca="false">'Target Inputs'!K5</f>
        <v>3000000</v>
      </c>
      <c r="L16" s="10" t="n">
        <f aca="false">G16*'VSL and Injuries'!$B$4+H16*'VSL and Injuries'!$B$4*I16+J16*'VSL and Injuries'!$K$6</f>
        <v>1319000</v>
      </c>
      <c r="M16" s="10" t="n">
        <f aca="false">K16*'VSL and Injuries'!$K$6*$AG16*E16</f>
        <v>11178000</v>
      </c>
      <c r="N16" s="10" t="n">
        <f aca="false">L16+M16</f>
        <v>12497000</v>
      </c>
      <c r="O16" s="4" t="n">
        <f aca="false">'Target Inputs'!L5</f>
        <v>1</v>
      </c>
      <c r="P16" s="4" t="n">
        <f aca="false">'Target Inputs'!M5</f>
        <v>4</v>
      </c>
      <c r="Q16" s="13" t="n">
        <f aca="false">'Target Inputs'!N5</f>
        <v>0.05</v>
      </c>
      <c r="R16" s="10" t="n">
        <f aca="false">'Target Inputs'!O5</f>
        <v>8000000</v>
      </c>
      <c r="S16" s="10" t="n">
        <f aca="false">'Target Inputs'!P5</f>
        <v>15000000</v>
      </c>
      <c r="T16" s="10" t="n">
        <f aca="false">O16*'VSL and Injuries'!$B$4+P16*'VSL and Injuries'!$B$4*Q16+R16*'VSL and Injuries'!$K$6</f>
        <v>25320000</v>
      </c>
      <c r="U16" s="10" t="n">
        <f aca="false">S16*'VSL and Injuries'!$K$6*$AG16*E16</f>
        <v>55890000</v>
      </c>
      <c r="V16" s="10" t="n">
        <f aca="false">T16+U16</f>
        <v>81210000</v>
      </c>
      <c r="W16" s="4" t="n">
        <f aca="false">'Target Inputs'!Q5</f>
        <v>4</v>
      </c>
      <c r="X16" s="4" t="n">
        <f aca="false">'Target Inputs'!R5</f>
        <v>15</v>
      </c>
      <c r="Y16" s="13" t="n">
        <f aca="false">'Target Inputs'!S5</f>
        <v>0.12</v>
      </c>
      <c r="Z16" s="10" t="n">
        <f aca="false">'Target Inputs'!T5</f>
        <v>50000000</v>
      </c>
      <c r="AA16" s="10" t="n">
        <f aca="false">'Target Inputs'!U5</f>
        <v>60000000</v>
      </c>
      <c r="AB16" s="10" t="n">
        <f aca="false">W16*'VSL and Injuries'!$B$4+X16*'VSL and Injuries'!$B$4*Y16+Z16*'VSL and Injuries'!$K$6</f>
        <v>134110000</v>
      </c>
      <c r="AC16" s="10" t="n">
        <f aca="false">AA16*'VSL and Injuries'!$K$6*$AG16*E16</f>
        <v>223560000</v>
      </c>
      <c r="AD16" s="10" t="n">
        <f aca="false">AB16+AC16</f>
        <v>357670000</v>
      </c>
      <c r="AE16" s="4" t="s">
        <v>382</v>
      </c>
      <c r="AF16" s="4" t="s">
        <v>383</v>
      </c>
      <c r="AG16" s="35" t="n">
        <f aca="false">IFERROR(INDEX('Duration Factors'!$G$4:$G$12,MATCH($B16,'Duration Factors'!$A$4:$A$12,0)),"")</f>
        <v>4</v>
      </c>
    </row>
    <row r="17" customFormat="false" ht="27.75" hidden="false" customHeight="true" outlineLevel="0" collapsed="false">
      <c r="A17" s="4" t="s">
        <v>380</v>
      </c>
      <c r="B17" s="4" t="s">
        <v>411</v>
      </c>
      <c r="C17" s="4" t="n">
        <v>168</v>
      </c>
      <c r="D17" s="34" t="n">
        <f aca="false">IFERROR(INDEX('Duration Factors'!$C$4:$C$12,MATCH($B17,'Duration Factors'!$A$4:$A$12,0)),"")</f>
        <v>7</v>
      </c>
      <c r="E17" s="34" t="n">
        <f aca="false">IFERROR(INDEX('Duration Factors'!$D$4:$D$12,MATCH($B17,'Duration Factors'!$A$4:$A$12,0)),"")</f>
        <v>1</v>
      </c>
      <c r="F17" s="4" t="s">
        <v>223</v>
      </c>
      <c r="G17" s="4" t="n">
        <f aca="false">'Target Inputs'!G5</f>
        <v>0</v>
      </c>
      <c r="H17" s="4" t="n">
        <f aca="false">'Target Inputs'!H5</f>
        <v>1</v>
      </c>
      <c r="I17" s="13" t="n">
        <f aca="false">'Target Inputs'!I5</f>
        <v>0.02</v>
      </c>
      <c r="J17" s="10" t="n">
        <f aca="false">'Target Inputs'!J5</f>
        <v>1000000</v>
      </c>
      <c r="K17" s="10" t="n">
        <f aca="false">'Target Inputs'!K5</f>
        <v>3000000</v>
      </c>
      <c r="L17" s="10" t="n">
        <f aca="false">G17*'VSL and Injuries'!$B$4+H17*'VSL and Injuries'!$B$4*I17+J17*'VSL and Injuries'!$K$6</f>
        <v>1319000</v>
      </c>
      <c r="M17" s="10" t="n">
        <f aca="false">K17*'VSL and Injuries'!$K$6*$AG17*E17</f>
        <v>27945000</v>
      </c>
      <c r="N17" s="10" t="n">
        <f aca="false">L17+M17</f>
        <v>29264000</v>
      </c>
      <c r="O17" s="4" t="n">
        <f aca="false">'Target Inputs'!L5</f>
        <v>1</v>
      </c>
      <c r="P17" s="4" t="n">
        <f aca="false">'Target Inputs'!M5</f>
        <v>4</v>
      </c>
      <c r="Q17" s="13" t="n">
        <f aca="false">'Target Inputs'!N5</f>
        <v>0.05</v>
      </c>
      <c r="R17" s="10" t="n">
        <f aca="false">'Target Inputs'!O5</f>
        <v>8000000</v>
      </c>
      <c r="S17" s="10" t="n">
        <f aca="false">'Target Inputs'!P5</f>
        <v>15000000</v>
      </c>
      <c r="T17" s="10" t="n">
        <f aca="false">O17*'VSL and Injuries'!$B$4+P17*'VSL and Injuries'!$B$4*Q17+R17*'VSL and Injuries'!$K$6</f>
        <v>25320000</v>
      </c>
      <c r="U17" s="10" t="n">
        <f aca="false">S17*'VSL and Injuries'!$K$6*$AG17*E17</f>
        <v>139725000</v>
      </c>
      <c r="V17" s="10" t="n">
        <f aca="false">T17+U17</f>
        <v>165045000</v>
      </c>
      <c r="W17" s="4" t="n">
        <f aca="false">'Target Inputs'!Q5</f>
        <v>4</v>
      </c>
      <c r="X17" s="4" t="n">
        <f aca="false">'Target Inputs'!R5</f>
        <v>15</v>
      </c>
      <c r="Y17" s="13" t="n">
        <f aca="false">'Target Inputs'!S5</f>
        <v>0.12</v>
      </c>
      <c r="Z17" s="10" t="n">
        <f aca="false">'Target Inputs'!T5</f>
        <v>50000000</v>
      </c>
      <c r="AA17" s="10" t="n">
        <f aca="false">'Target Inputs'!U5</f>
        <v>60000000</v>
      </c>
      <c r="AB17" s="10" t="n">
        <f aca="false">W17*'VSL and Injuries'!$B$4+X17*'VSL and Injuries'!$B$4*Y17+Z17*'VSL and Injuries'!$K$6</f>
        <v>134110000</v>
      </c>
      <c r="AC17" s="10" t="n">
        <f aca="false">AA17*'VSL and Injuries'!$K$6*$AG17*E17</f>
        <v>558900000</v>
      </c>
      <c r="AD17" s="10" t="n">
        <f aca="false">AB17+AC17</f>
        <v>693010000</v>
      </c>
      <c r="AE17" s="4" t="s">
        <v>382</v>
      </c>
      <c r="AF17" s="4" t="s">
        <v>383</v>
      </c>
      <c r="AG17" s="35" t="n">
        <f aca="false">IFERROR(INDEX('Duration Factors'!$G$4:$G$12,MATCH($B17,'Duration Factors'!$A$4:$A$12,0)),"")</f>
        <v>9</v>
      </c>
    </row>
    <row r="18" customFormat="false" ht="27.75" hidden="false" customHeight="true" outlineLevel="0" collapsed="false">
      <c r="A18" s="4" t="s">
        <v>380</v>
      </c>
      <c r="B18" s="4" t="s">
        <v>413</v>
      </c>
      <c r="C18" s="4" t="n">
        <v>336</v>
      </c>
      <c r="D18" s="34" t="n">
        <f aca="false">IFERROR(INDEX('Duration Factors'!$C$4:$C$12,MATCH($B18,'Duration Factors'!$A$4:$A$12,0)),"")</f>
        <v>14</v>
      </c>
      <c r="E18" s="34" t="n">
        <f aca="false">IFERROR(INDEX('Duration Factors'!$D$4:$D$12,MATCH($B18,'Duration Factors'!$A$4:$A$12,0)),"")</f>
        <v>1.1</v>
      </c>
      <c r="F18" s="4" t="s">
        <v>223</v>
      </c>
      <c r="G18" s="4" t="n">
        <f aca="false">'Target Inputs'!G5</f>
        <v>0</v>
      </c>
      <c r="H18" s="4" t="n">
        <f aca="false">'Target Inputs'!H5</f>
        <v>1</v>
      </c>
      <c r="I18" s="13" t="n">
        <f aca="false">'Target Inputs'!I5</f>
        <v>0.02</v>
      </c>
      <c r="J18" s="10" t="n">
        <f aca="false">'Target Inputs'!J5</f>
        <v>1000000</v>
      </c>
      <c r="K18" s="10" t="n">
        <f aca="false">'Target Inputs'!K5</f>
        <v>3000000</v>
      </c>
      <c r="L18" s="10" t="n">
        <f aca="false">G18*'VSL and Injuries'!$B$4+H18*'VSL and Injuries'!$B$4*I18+J18*'VSL and Injuries'!$K$6</f>
        <v>1319000</v>
      </c>
      <c r="M18" s="10" t="n">
        <f aca="false">K18*'VSL and Injuries'!$K$6*$AG18*E18</f>
        <v>58063500</v>
      </c>
      <c r="N18" s="10" t="n">
        <f aca="false">L18+M18</f>
        <v>59382500</v>
      </c>
      <c r="O18" s="4" t="n">
        <f aca="false">'Target Inputs'!L5</f>
        <v>1</v>
      </c>
      <c r="P18" s="4" t="n">
        <f aca="false">'Target Inputs'!M5</f>
        <v>4</v>
      </c>
      <c r="Q18" s="13" t="n">
        <f aca="false">'Target Inputs'!N5</f>
        <v>0.05</v>
      </c>
      <c r="R18" s="10" t="n">
        <f aca="false">'Target Inputs'!O5</f>
        <v>8000000</v>
      </c>
      <c r="S18" s="10" t="n">
        <f aca="false">'Target Inputs'!P5</f>
        <v>15000000</v>
      </c>
      <c r="T18" s="10" t="n">
        <f aca="false">O18*'VSL and Injuries'!$B$4+P18*'VSL and Injuries'!$B$4*Q18+R18*'VSL and Injuries'!$K$6</f>
        <v>25320000</v>
      </c>
      <c r="U18" s="10" t="n">
        <f aca="false">S18*'VSL and Injuries'!$K$6*$AG18*E18</f>
        <v>290317500</v>
      </c>
      <c r="V18" s="10" t="n">
        <f aca="false">T18+U18</f>
        <v>315637500</v>
      </c>
      <c r="W18" s="4" t="n">
        <f aca="false">'Target Inputs'!Q5</f>
        <v>4</v>
      </c>
      <c r="X18" s="4" t="n">
        <f aca="false">'Target Inputs'!R5</f>
        <v>15</v>
      </c>
      <c r="Y18" s="13" t="n">
        <f aca="false">'Target Inputs'!S5</f>
        <v>0.12</v>
      </c>
      <c r="Z18" s="10" t="n">
        <f aca="false">'Target Inputs'!T5</f>
        <v>50000000</v>
      </c>
      <c r="AA18" s="10" t="n">
        <f aca="false">'Target Inputs'!U5</f>
        <v>60000000</v>
      </c>
      <c r="AB18" s="10" t="n">
        <f aca="false">W18*'VSL and Injuries'!$B$4+X18*'VSL and Injuries'!$B$4*Y18+Z18*'VSL and Injuries'!$K$6</f>
        <v>134110000</v>
      </c>
      <c r="AC18" s="10" t="n">
        <f aca="false">AA18*'VSL and Injuries'!$K$6*$AG18*E18</f>
        <v>1161270000</v>
      </c>
      <c r="AD18" s="10" t="n">
        <f aca="false">AB18+AC18</f>
        <v>1295380000</v>
      </c>
      <c r="AE18" s="4" t="s">
        <v>382</v>
      </c>
      <c r="AF18" s="4" t="s">
        <v>383</v>
      </c>
      <c r="AG18" s="35" t="n">
        <f aca="false">IFERROR(INDEX('Duration Factors'!$G$4:$G$12,MATCH($B18,'Duration Factors'!$A$4:$A$12,0)),"")</f>
        <v>17</v>
      </c>
    </row>
    <row r="19" customFormat="false" ht="27.75" hidden="false" customHeight="true" outlineLevel="0" collapsed="false">
      <c r="A19" s="4" t="s">
        <v>380</v>
      </c>
      <c r="B19" s="4" t="s">
        <v>415</v>
      </c>
      <c r="C19" s="4" t="n">
        <v>720</v>
      </c>
      <c r="D19" s="34" t="n">
        <f aca="false">IFERROR(INDEX('Duration Factors'!$C$4:$C$12,MATCH($B19,'Duration Factors'!$A$4:$A$12,0)),"")</f>
        <v>30</v>
      </c>
      <c r="E19" s="34" t="n">
        <f aca="false">IFERROR(INDEX('Duration Factors'!$D$4:$D$12,MATCH($B19,'Duration Factors'!$A$4:$A$12,0)),"")</f>
        <v>1.2</v>
      </c>
      <c r="F19" s="4" t="s">
        <v>223</v>
      </c>
      <c r="G19" s="4" t="n">
        <f aca="false">'Target Inputs'!G5</f>
        <v>0</v>
      </c>
      <c r="H19" s="4" t="n">
        <f aca="false">'Target Inputs'!H5</f>
        <v>1</v>
      </c>
      <c r="I19" s="13" t="n">
        <f aca="false">'Target Inputs'!I5</f>
        <v>0.02</v>
      </c>
      <c r="J19" s="10" t="n">
        <f aca="false">'Target Inputs'!J5</f>
        <v>1000000</v>
      </c>
      <c r="K19" s="10" t="n">
        <f aca="false">'Target Inputs'!K5</f>
        <v>3000000</v>
      </c>
      <c r="L19" s="10" t="n">
        <f aca="false">G19*'VSL and Injuries'!$B$4+H19*'VSL and Injuries'!$B$4*I19+J19*'VSL and Injuries'!$K$6</f>
        <v>1319000</v>
      </c>
      <c r="M19" s="10" t="n">
        <f aca="false">K19*'VSL and Injuries'!$K$6*$AG19*E19</f>
        <v>130410000</v>
      </c>
      <c r="N19" s="10" t="n">
        <f aca="false">L19+M19</f>
        <v>131729000</v>
      </c>
      <c r="O19" s="4" t="n">
        <f aca="false">'Target Inputs'!L5</f>
        <v>1</v>
      </c>
      <c r="P19" s="4" t="n">
        <f aca="false">'Target Inputs'!M5</f>
        <v>4</v>
      </c>
      <c r="Q19" s="13" t="n">
        <f aca="false">'Target Inputs'!N5</f>
        <v>0.05</v>
      </c>
      <c r="R19" s="10" t="n">
        <f aca="false">'Target Inputs'!O5</f>
        <v>8000000</v>
      </c>
      <c r="S19" s="10" t="n">
        <f aca="false">'Target Inputs'!P5</f>
        <v>15000000</v>
      </c>
      <c r="T19" s="10" t="n">
        <f aca="false">O19*'VSL and Injuries'!$B$4+P19*'VSL and Injuries'!$B$4*Q19+R19*'VSL and Injuries'!$K$6</f>
        <v>25320000</v>
      </c>
      <c r="U19" s="10" t="n">
        <f aca="false">S19*'VSL and Injuries'!$K$6*$AG19*E19</f>
        <v>652050000</v>
      </c>
      <c r="V19" s="10" t="n">
        <f aca="false">T19+U19</f>
        <v>677370000</v>
      </c>
      <c r="W19" s="4" t="n">
        <f aca="false">'Target Inputs'!Q5</f>
        <v>4</v>
      </c>
      <c r="X19" s="4" t="n">
        <f aca="false">'Target Inputs'!R5</f>
        <v>15</v>
      </c>
      <c r="Y19" s="13" t="n">
        <f aca="false">'Target Inputs'!S5</f>
        <v>0.12</v>
      </c>
      <c r="Z19" s="10" t="n">
        <f aca="false">'Target Inputs'!T5</f>
        <v>50000000</v>
      </c>
      <c r="AA19" s="10" t="n">
        <f aca="false">'Target Inputs'!U5</f>
        <v>60000000</v>
      </c>
      <c r="AB19" s="10" t="n">
        <f aca="false">W19*'VSL and Injuries'!$B$4+X19*'VSL and Injuries'!$B$4*Y19+Z19*'VSL and Injuries'!$K$6</f>
        <v>134110000</v>
      </c>
      <c r="AC19" s="10" t="n">
        <f aca="false">AA19*'VSL and Injuries'!$K$6*$AG19*E19</f>
        <v>2608200000</v>
      </c>
      <c r="AD19" s="10" t="n">
        <f aca="false">AB19+AC19</f>
        <v>2742310000</v>
      </c>
      <c r="AE19" s="4" t="s">
        <v>382</v>
      </c>
      <c r="AF19" s="4" t="s">
        <v>383</v>
      </c>
      <c r="AG19" s="35" t="n">
        <f aca="false">IFERROR(INDEX('Duration Factors'!$G$4:$G$12,MATCH($B19,'Duration Factors'!$A$4:$A$12,0)),"")</f>
        <v>35</v>
      </c>
    </row>
    <row r="20" customFormat="false" ht="27.75" hidden="false" customHeight="true" outlineLevel="0" collapsed="false">
      <c r="A20" s="4" t="s">
        <v>380</v>
      </c>
      <c r="B20" s="4" t="s">
        <v>417</v>
      </c>
      <c r="C20" s="4" t="n">
        <v>1080</v>
      </c>
      <c r="D20" s="34" t="n">
        <f aca="false">IFERROR(INDEX('Duration Factors'!$C$4:$C$12,MATCH($B20,'Duration Factors'!$A$4:$A$12,0)),"")</f>
        <v>45</v>
      </c>
      <c r="E20" s="34" t="n">
        <f aca="false">IFERROR(INDEX('Duration Factors'!$D$4:$D$12,MATCH($B20,'Duration Factors'!$A$4:$A$12,0)),"")</f>
        <v>1.3</v>
      </c>
      <c r="F20" s="4" t="s">
        <v>223</v>
      </c>
      <c r="G20" s="4" t="n">
        <f aca="false">'Target Inputs'!G5</f>
        <v>0</v>
      </c>
      <c r="H20" s="4" t="n">
        <f aca="false">'Target Inputs'!H5</f>
        <v>1</v>
      </c>
      <c r="I20" s="13" t="n">
        <f aca="false">'Target Inputs'!I5</f>
        <v>0.02</v>
      </c>
      <c r="J20" s="10" t="n">
        <f aca="false">'Target Inputs'!J5</f>
        <v>1000000</v>
      </c>
      <c r="K20" s="10" t="n">
        <f aca="false">'Target Inputs'!K5</f>
        <v>3000000</v>
      </c>
      <c r="L20" s="10" t="n">
        <f aca="false">G20*'VSL and Injuries'!$B$4+H20*'VSL and Injuries'!$B$4*I20+J20*'VSL and Injuries'!$K$6</f>
        <v>1319000</v>
      </c>
      <c r="M20" s="10" t="n">
        <f aca="false">K20*'VSL and Injuries'!$K$6*$AG20*E20</f>
        <v>222007500</v>
      </c>
      <c r="N20" s="10" t="n">
        <f aca="false">L20+M20</f>
        <v>223326500</v>
      </c>
      <c r="O20" s="4" t="n">
        <f aca="false">'Target Inputs'!L5</f>
        <v>1</v>
      </c>
      <c r="P20" s="4" t="n">
        <f aca="false">'Target Inputs'!M5</f>
        <v>4</v>
      </c>
      <c r="Q20" s="13" t="n">
        <f aca="false">'Target Inputs'!N5</f>
        <v>0.05</v>
      </c>
      <c r="R20" s="10" t="n">
        <f aca="false">'Target Inputs'!O5</f>
        <v>8000000</v>
      </c>
      <c r="S20" s="10" t="n">
        <f aca="false">'Target Inputs'!P5</f>
        <v>15000000</v>
      </c>
      <c r="T20" s="10" t="n">
        <f aca="false">O20*'VSL and Injuries'!$B$4+P20*'VSL and Injuries'!$B$4*Q20+R20*'VSL and Injuries'!$K$6</f>
        <v>25320000</v>
      </c>
      <c r="U20" s="10" t="n">
        <f aca="false">S20*'VSL and Injuries'!$K$6*$AG20*E20</f>
        <v>1110037500</v>
      </c>
      <c r="V20" s="10" t="n">
        <f aca="false">T20+U20</f>
        <v>1135357500</v>
      </c>
      <c r="W20" s="4" t="n">
        <f aca="false">'Target Inputs'!Q5</f>
        <v>4</v>
      </c>
      <c r="X20" s="4" t="n">
        <f aca="false">'Target Inputs'!R5</f>
        <v>15</v>
      </c>
      <c r="Y20" s="13" t="n">
        <f aca="false">'Target Inputs'!S5</f>
        <v>0.12</v>
      </c>
      <c r="Z20" s="10" t="n">
        <f aca="false">'Target Inputs'!T5</f>
        <v>50000000</v>
      </c>
      <c r="AA20" s="10" t="n">
        <f aca="false">'Target Inputs'!U5</f>
        <v>60000000</v>
      </c>
      <c r="AB20" s="10" t="n">
        <f aca="false">W20*'VSL and Injuries'!$B$4+X20*'VSL and Injuries'!$B$4*Y20+Z20*'VSL and Injuries'!$K$6</f>
        <v>134110000</v>
      </c>
      <c r="AC20" s="10" t="n">
        <f aca="false">AA20*'VSL and Injuries'!$K$6*$AG20*E20</f>
        <v>4440150000</v>
      </c>
      <c r="AD20" s="10" t="n">
        <f aca="false">AB20+AC20</f>
        <v>4574260000</v>
      </c>
      <c r="AE20" s="4" t="s">
        <v>382</v>
      </c>
      <c r="AF20" s="4" t="s">
        <v>383</v>
      </c>
      <c r="AG20" s="35" t="n">
        <f aca="false">IFERROR(INDEX('Duration Factors'!$G$4:$G$12,MATCH($B20,'Duration Factors'!$A$4:$A$12,0)),"")</f>
        <v>55</v>
      </c>
    </row>
    <row r="21" customFormat="false" ht="27.75" hidden="false" customHeight="true" outlineLevel="0" collapsed="false">
      <c r="A21" s="4" t="s">
        <v>380</v>
      </c>
      <c r="B21" s="4" t="s">
        <v>419</v>
      </c>
      <c r="C21" s="4" t="n">
        <v>2160</v>
      </c>
      <c r="D21" s="34" t="n">
        <f aca="false">IFERROR(INDEX('Duration Factors'!$C$4:$C$12,MATCH($B21,'Duration Factors'!$A$4:$A$12,0)),"")</f>
        <v>90</v>
      </c>
      <c r="E21" s="34" t="n">
        <f aca="false">IFERROR(INDEX('Duration Factors'!$D$4:$D$12,MATCH($B21,'Duration Factors'!$A$4:$A$12,0)),"")</f>
        <v>1.4</v>
      </c>
      <c r="F21" s="4" t="s">
        <v>223</v>
      </c>
      <c r="G21" s="4" t="n">
        <f aca="false">'Target Inputs'!G5</f>
        <v>0</v>
      </c>
      <c r="H21" s="4" t="n">
        <f aca="false">'Target Inputs'!H5</f>
        <v>1</v>
      </c>
      <c r="I21" s="13" t="n">
        <f aca="false">'Target Inputs'!I5</f>
        <v>0.02</v>
      </c>
      <c r="J21" s="10" t="n">
        <f aca="false">'Target Inputs'!J5</f>
        <v>1000000</v>
      </c>
      <c r="K21" s="10" t="n">
        <f aca="false">'Target Inputs'!K5</f>
        <v>3000000</v>
      </c>
      <c r="L21" s="10" t="n">
        <f aca="false">G21*'VSL and Injuries'!$B$4+H21*'VSL and Injuries'!$B$4*I21+J21*'VSL and Injuries'!$K$6</f>
        <v>1319000</v>
      </c>
      <c r="M21" s="10" t="n">
        <f aca="false">K21*'VSL and Injuries'!$K$6*$AG21*E21</f>
        <v>478170000</v>
      </c>
      <c r="N21" s="10" t="n">
        <f aca="false">L21+M21</f>
        <v>479489000</v>
      </c>
      <c r="O21" s="4" t="n">
        <f aca="false">'Target Inputs'!L5</f>
        <v>1</v>
      </c>
      <c r="P21" s="4" t="n">
        <f aca="false">'Target Inputs'!M5</f>
        <v>4</v>
      </c>
      <c r="Q21" s="13" t="n">
        <f aca="false">'Target Inputs'!N5</f>
        <v>0.05</v>
      </c>
      <c r="R21" s="10" t="n">
        <f aca="false">'Target Inputs'!O5</f>
        <v>8000000</v>
      </c>
      <c r="S21" s="10" t="n">
        <f aca="false">'Target Inputs'!P5</f>
        <v>15000000</v>
      </c>
      <c r="T21" s="10" t="n">
        <f aca="false">O21*'VSL and Injuries'!$B$4+P21*'VSL and Injuries'!$B$4*Q21+R21*'VSL and Injuries'!$K$6</f>
        <v>25320000</v>
      </c>
      <c r="U21" s="10" t="n">
        <f aca="false">S21*'VSL and Injuries'!$K$6*$AG21*E21</f>
        <v>2390850000</v>
      </c>
      <c r="V21" s="10" t="n">
        <f aca="false">T21+U21</f>
        <v>2416170000</v>
      </c>
      <c r="W21" s="4" t="n">
        <f aca="false">'Target Inputs'!Q5</f>
        <v>4</v>
      </c>
      <c r="X21" s="4" t="n">
        <f aca="false">'Target Inputs'!R5</f>
        <v>15</v>
      </c>
      <c r="Y21" s="13" t="n">
        <f aca="false">'Target Inputs'!S5</f>
        <v>0.12</v>
      </c>
      <c r="Z21" s="10" t="n">
        <f aca="false">'Target Inputs'!T5</f>
        <v>50000000</v>
      </c>
      <c r="AA21" s="10" t="n">
        <f aca="false">'Target Inputs'!U5</f>
        <v>60000000</v>
      </c>
      <c r="AB21" s="10" t="n">
        <f aca="false">W21*'VSL and Injuries'!$B$4+X21*'VSL and Injuries'!$B$4*Y21+Z21*'VSL and Injuries'!$K$6</f>
        <v>134110000</v>
      </c>
      <c r="AC21" s="10" t="n">
        <f aca="false">AA21*'VSL and Injuries'!$K$6*$AG21*E21</f>
        <v>9563400000</v>
      </c>
      <c r="AD21" s="10" t="n">
        <f aca="false">AB21+AC21</f>
        <v>9697510000</v>
      </c>
      <c r="AE21" s="4" t="s">
        <v>382</v>
      </c>
      <c r="AF21" s="4" t="s">
        <v>383</v>
      </c>
      <c r="AG21" s="35" t="n">
        <f aca="false">IFERROR(INDEX('Duration Factors'!$G$4:$G$12,MATCH($B21,'Duration Factors'!$A$4:$A$12,0)),"")</f>
        <v>110</v>
      </c>
    </row>
    <row r="22" customFormat="false" ht="27.75" hidden="false" customHeight="true" outlineLevel="0" collapsed="false">
      <c r="A22" s="4" t="s">
        <v>384</v>
      </c>
      <c r="B22" s="4" t="s">
        <v>404</v>
      </c>
      <c r="C22" s="4" t="n">
        <v>4</v>
      </c>
      <c r="D22" s="34" t="n">
        <f aca="false">IFERROR(INDEX('Duration Factors'!$C$4:$C$12,MATCH($B22,'Duration Factors'!$A$4:$A$12,0)),"")</f>
        <v>0.166666666666667</v>
      </c>
      <c r="E22" s="34" t="n">
        <f aca="false">IFERROR(INDEX('Duration Factors'!$D$4:$D$12,MATCH($B22,'Duration Factors'!$A$4:$A$12,0)),"")</f>
        <v>0.35</v>
      </c>
      <c r="F22" s="4" t="s">
        <v>223</v>
      </c>
      <c r="G22" s="4" t="n">
        <f aca="false">'Target Inputs'!G6</f>
        <v>0</v>
      </c>
      <c r="H22" s="4" t="n">
        <f aca="false">'Target Inputs'!H6</f>
        <v>1</v>
      </c>
      <c r="I22" s="13" t="n">
        <f aca="false">'Target Inputs'!I6</f>
        <v>0.02</v>
      </c>
      <c r="J22" s="10" t="n">
        <f aca="false">'Target Inputs'!J6</f>
        <v>2000000</v>
      </c>
      <c r="K22" s="10" t="n">
        <f aca="false">'Target Inputs'!K6</f>
        <v>4000000</v>
      </c>
      <c r="L22" s="10" t="n">
        <f aca="false">G22*'VSL and Injuries'!$B$4+H22*'VSL and Injuries'!$B$4*I22+J22*'VSL and Injuries'!$K$6</f>
        <v>2354000</v>
      </c>
      <c r="M22" s="10" t="n">
        <f aca="false">K22*'VSL and Injuries'!$K$6*$AG22*E22</f>
        <v>241500</v>
      </c>
      <c r="N22" s="10" t="n">
        <f aca="false">L22+M22</f>
        <v>2595500</v>
      </c>
      <c r="O22" s="4" t="n">
        <f aca="false">'Target Inputs'!L6</f>
        <v>1</v>
      </c>
      <c r="P22" s="4" t="n">
        <f aca="false">'Target Inputs'!M6</f>
        <v>5</v>
      </c>
      <c r="Q22" s="13" t="n">
        <f aca="false">'Target Inputs'!N6</f>
        <v>0.05</v>
      </c>
      <c r="R22" s="10" t="n">
        <f aca="false">'Target Inputs'!O6</f>
        <v>12000000</v>
      </c>
      <c r="S22" s="10" t="n">
        <f aca="false">'Target Inputs'!P6</f>
        <v>20000000</v>
      </c>
      <c r="T22" s="10" t="n">
        <f aca="false">O22*'VSL and Injuries'!$B$4+P22*'VSL and Injuries'!$B$4*Q22+R22*'VSL and Injuries'!$K$6</f>
        <v>30170000</v>
      </c>
      <c r="U22" s="10" t="n">
        <f aca="false">S22*'VSL and Injuries'!$K$6*$AG22*E22</f>
        <v>1207500</v>
      </c>
      <c r="V22" s="10" t="n">
        <f aca="false">T22+U22</f>
        <v>31377500</v>
      </c>
      <c r="W22" s="4" t="n">
        <f aca="false">'Target Inputs'!Q6</f>
        <v>5</v>
      </c>
      <c r="X22" s="4" t="n">
        <f aca="false">'Target Inputs'!R6</f>
        <v>20</v>
      </c>
      <c r="Y22" s="13" t="n">
        <f aca="false">'Target Inputs'!S6</f>
        <v>0.12</v>
      </c>
      <c r="Z22" s="10" t="n">
        <f aca="false">'Target Inputs'!T6</f>
        <v>75000000</v>
      </c>
      <c r="AA22" s="10" t="n">
        <f aca="false">'Target Inputs'!U6</f>
        <v>80000000</v>
      </c>
      <c r="AB22" s="10" t="n">
        <f aca="false">W22*'VSL and Injuries'!$B$4+X22*'VSL and Injuries'!$B$4*Y22+Z22*'VSL and Injuries'!$K$6</f>
        <v>182705000</v>
      </c>
      <c r="AC22" s="10" t="n">
        <f aca="false">AA22*'VSL and Injuries'!$K$6*$AG22*E22</f>
        <v>4830000.00000001</v>
      </c>
      <c r="AD22" s="10" t="n">
        <f aca="false">AB22+AC22</f>
        <v>187535000</v>
      </c>
      <c r="AE22" s="4" t="s">
        <v>382</v>
      </c>
      <c r="AF22" s="4" t="s">
        <v>386</v>
      </c>
      <c r="AG22" s="35" t="n">
        <f aca="false">IFERROR(INDEX('Duration Factors'!$G$4:$G$12,MATCH($B22,'Duration Factors'!$A$4:$A$12,0)),"")</f>
        <v>0.166666666666667</v>
      </c>
    </row>
    <row r="23" customFormat="false" ht="27.75" hidden="false" customHeight="true" outlineLevel="0" collapsed="false">
      <c r="A23" s="4" t="s">
        <v>384</v>
      </c>
      <c r="B23" s="4" t="s">
        <v>406</v>
      </c>
      <c r="C23" s="4" t="n">
        <v>12</v>
      </c>
      <c r="D23" s="34" t="n">
        <f aca="false">IFERROR(INDEX('Duration Factors'!$C$4:$C$12,MATCH($B23,'Duration Factors'!$A$4:$A$12,0)),"")</f>
        <v>0.5</v>
      </c>
      <c r="E23" s="34" t="n">
        <f aca="false">IFERROR(INDEX('Duration Factors'!$D$4:$D$12,MATCH($B23,'Duration Factors'!$A$4:$A$12,0)),"")</f>
        <v>0.55</v>
      </c>
      <c r="F23" s="4" t="s">
        <v>223</v>
      </c>
      <c r="G23" s="4" t="n">
        <f aca="false">'Target Inputs'!G6</f>
        <v>0</v>
      </c>
      <c r="H23" s="4" t="n">
        <f aca="false">'Target Inputs'!H6</f>
        <v>1</v>
      </c>
      <c r="I23" s="13" t="n">
        <f aca="false">'Target Inputs'!I6</f>
        <v>0.02</v>
      </c>
      <c r="J23" s="10" t="n">
        <f aca="false">'Target Inputs'!J6</f>
        <v>2000000</v>
      </c>
      <c r="K23" s="10" t="n">
        <f aca="false">'Target Inputs'!K6</f>
        <v>4000000</v>
      </c>
      <c r="L23" s="10" t="n">
        <f aca="false">G23*'VSL and Injuries'!$B$4+H23*'VSL and Injuries'!$B$4*I23+J23*'VSL and Injuries'!$K$6</f>
        <v>2354000</v>
      </c>
      <c r="M23" s="10" t="n">
        <f aca="false">K23*'VSL and Injuries'!$K$6*$AG23*E23</f>
        <v>1138500</v>
      </c>
      <c r="N23" s="10" t="n">
        <f aca="false">L23+M23</f>
        <v>3492500</v>
      </c>
      <c r="O23" s="4" t="n">
        <f aca="false">'Target Inputs'!L6</f>
        <v>1</v>
      </c>
      <c r="P23" s="4" t="n">
        <f aca="false">'Target Inputs'!M6</f>
        <v>5</v>
      </c>
      <c r="Q23" s="13" t="n">
        <f aca="false">'Target Inputs'!N6</f>
        <v>0.05</v>
      </c>
      <c r="R23" s="10" t="n">
        <f aca="false">'Target Inputs'!O6</f>
        <v>12000000</v>
      </c>
      <c r="S23" s="10" t="n">
        <f aca="false">'Target Inputs'!P6</f>
        <v>20000000</v>
      </c>
      <c r="T23" s="10" t="n">
        <f aca="false">O23*'VSL and Injuries'!$B$4+P23*'VSL and Injuries'!$B$4*Q23+R23*'VSL and Injuries'!$K$6</f>
        <v>30170000</v>
      </c>
      <c r="U23" s="10" t="n">
        <f aca="false">S23*'VSL and Injuries'!$K$6*$AG23*E23</f>
        <v>5692500</v>
      </c>
      <c r="V23" s="10" t="n">
        <f aca="false">T23+U23</f>
        <v>35862500</v>
      </c>
      <c r="W23" s="4" t="n">
        <f aca="false">'Target Inputs'!Q6</f>
        <v>5</v>
      </c>
      <c r="X23" s="4" t="n">
        <f aca="false">'Target Inputs'!R6</f>
        <v>20</v>
      </c>
      <c r="Y23" s="13" t="n">
        <f aca="false">'Target Inputs'!S6</f>
        <v>0.12</v>
      </c>
      <c r="Z23" s="10" t="n">
        <f aca="false">'Target Inputs'!T6</f>
        <v>75000000</v>
      </c>
      <c r="AA23" s="10" t="n">
        <f aca="false">'Target Inputs'!U6</f>
        <v>80000000</v>
      </c>
      <c r="AB23" s="10" t="n">
        <f aca="false">W23*'VSL and Injuries'!$B$4+X23*'VSL and Injuries'!$B$4*Y23+Z23*'VSL and Injuries'!$K$6</f>
        <v>182705000</v>
      </c>
      <c r="AC23" s="10" t="n">
        <f aca="false">AA23*'VSL and Injuries'!$K$6*$AG23*E23</f>
        <v>22770000</v>
      </c>
      <c r="AD23" s="10" t="n">
        <f aca="false">AB23+AC23</f>
        <v>205475000</v>
      </c>
      <c r="AE23" s="4" t="s">
        <v>382</v>
      </c>
      <c r="AF23" s="4" t="s">
        <v>386</v>
      </c>
      <c r="AG23" s="35" t="n">
        <f aca="false">IFERROR(INDEX('Duration Factors'!$G$4:$G$12,MATCH($B23,'Duration Factors'!$A$4:$A$12,0)),"")</f>
        <v>0.5</v>
      </c>
    </row>
    <row r="24" customFormat="false" ht="27.75" hidden="false" customHeight="true" outlineLevel="0" collapsed="false">
      <c r="A24" s="4" t="s">
        <v>384</v>
      </c>
      <c r="B24" s="4" t="s">
        <v>407</v>
      </c>
      <c r="C24" s="4" t="n">
        <v>24</v>
      </c>
      <c r="D24" s="34" t="n">
        <f aca="false">IFERROR(INDEX('Duration Factors'!$C$4:$C$12,MATCH($B24,'Duration Factors'!$A$4:$A$12,0)),"")</f>
        <v>1</v>
      </c>
      <c r="E24" s="34" t="n">
        <f aca="false">IFERROR(INDEX('Duration Factors'!$D$4:$D$12,MATCH($B24,'Duration Factors'!$A$4:$A$12,0)),"")</f>
        <v>0.7</v>
      </c>
      <c r="F24" s="4" t="s">
        <v>223</v>
      </c>
      <c r="G24" s="4" t="n">
        <f aca="false">'Target Inputs'!G6</f>
        <v>0</v>
      </c>
      <c r="H24" s="4" t="n">
        <f aca="false">'Target Inputs'!H6</f>
        <v>1</v>
      </c>
      <c r="I24" s="13" t="n">
        <f aca="false">'Target Inputs'!I6</f>
        <v>0.02</v>
      </c>
      <c r="J24" s="10" t="n">
        <f aca="false">'Target Inputs'!J6</f>
        <v>2000000</v>
      </c>
      <c r="K24" s="10" t="n">
        <f aca="false">'Target Inputs'!K6</f>
        <v>4000000</v>
      </c>
      <c r="L24" s="10" t="n">
        <f aca="false">G24*'VSL and Injuries'!$B$4+H24*'VSL and Injuries'!$B$4*I24+J24*'VSL and Injuries'!$K$6</f>
        <v>2354000</v>
      </c>
      <c r="M24" s="10" t="n">
        <f aca="false">K24*'VSL and Injuries'!$K$6*$AG24*E24</f>
        <v>2898000</v>
      </c>
      <c r="N24" s="10" t="n">
        <f aca="false">L24+M24</f>
        <v>5252000</v>
      </c>
      <c r="O24" s="4" t="n">
        <f aca="false">'Target Inputs'!L6</f>
        <v>1</v>
      </c>
      <c r="P24" s="4" t="n">
        <f aca="false">'Target Inputs'!M6</f>
        <v>5</v>
      </c>
      <c r="Q24" s="13" t="n">
        <f aca="false">'Target Inputs'!N6</f>
        <v>0.05</v>
      </c>
      <c r="R24" s="10" t="n">
        <f aca="false">'Target Inputs'!O6</f>
        <v>12000000</v>
      </c>
      <c r="S24" s="10" t="n">
        <f aca="false">'Target Inputs'!P6</f>
        <v>20000000</v>
      </c>
      <c r="T24" s="10" t="n">
        <f aca="false">O24*'VSL and Injuries'!$B$4+P24*'VSL and Injuries'!$B$4*Q24+R24*'VSL and Injuries'!$K$6</f>
        <v>30170000</v>
      </c>
      <c r="U24" s="10" t="n">
        <f aca="false">S24*'VSL and Injuries'!$K$6*$AG24*E24</f>
        <v>14490000</v>
      </c>
      <c r="V24" s="10" t="n">
        <f aca="false">T24+U24</f>
        <v>44660000</v>
      </c>
      <c r="W24" s="4" t="n">
        <f aca="false">'Target Inputs'!Q6</f>
        <v>5</v>
      </c>
      <c r="X24" s="4" t="n">
        <f aca="false">'Target Inputs'!R6</f>
        <v>20</v>
      </c>
      <c r="Y24" s="13" t="n">
        <f aca="false">'Target Inputs'!S6</f>
        <v>0.12</v>
      </c>
      <c r="Z24" s="10" t="n">
        <f aca="false">'Target Inputs'!T6</f>
        <v>75000000</v>
      </c>
      <c r="AA24" s="10" t="n">
        <f aca="false">'Target Inputs'!U6</f>
        <v>80000000</v>
      </c>
      <c r="AB24" s="10" t="n">
        <f aca="false">W24*'VSL and Injuries'!$B$4+X24*'VSL and Injuries'!$B$4*Y24+Z24*'VSL and Injuries'!$K$6</f>
        <v>182705000</v>
      </c>
      <c r="AC24" s="10" t="n">
        <f aca="false">AA24*'VSL and Injuries'!$K$6*$AG24*E24</f>
        <v>57960000</v>
      </c>
      <c r="AD24" s="10" t="n">
        <f aca="false">AB24+AC24</f>
        <v>240665000</v>
      </c>
      <c r="AE24" s="4" t="s">
        <v>382</v>
      </c>
      <c r="AF24" s="4" t="s">
        <v>386</v>
      </c>
      <c r="AG24" s="35" t="n">
        <f aca="false">IFERROR(INDEX('Duration Factors'!$G$4:$G$12,MATCH($B24,'Duration Factors'!$A$4:$A$12,0)),"")</f>
        <v>1</v>
      </c>
    </row>
    <row r="25" customFormat="false" ht="41.25" hidden="false" customHeight="true" outlineLevel="0" collapsed="false">
      <c r="A25" s="4" t="s">
        <v>384</v>
      </c>
      <c r="B25" s="4" t="s">
        <v>409</v>
      </c>
      <c r="C25" s="4" t="n">
        <v>72</v>
      </c>
      <c r="D25" s="34" t="n">
        <f aca="false">IFERROR(INDEX('Duration Factors'!$C$4:$C$12,MATCH($B25,'Duration Factors'!$A$4:$A$12,0)),"")</f>
        <v>3</v>
      </c>
      <c r="E25" s="34" t="n">
        <f aca="false">IFERROR(INDEX('Duration Factors'!$D$4:$D$12,MATCH($B25,'Duration Factors'!$A$4:$A$12,0)),"")</f>
        <v>0.9</v>
      </c>
      <c r="F25" s="4" t="s">
        <v>223</v>
      </c>
      <c r="G25" s="4" t="n">
        <f aca="false">'Target Inputs'!G6</f>
        <v>0</v>
      </c>
      <c r="H25" s="4" t="n">
        <f aca="false">'Target Inputs'!H6</f>
        <v>1</v>
      </c>
      <c r="I25" s="13" t="n">
        <f aca="false">'Target Inputs'!I6</f>
        <v>0.02</v>
      </c>
      <c r="J25" s="10" t="n">
        <f aca="false">'Target Inputs'!J6</f>
        <v>2000000</v>
      </c>
      <c r="K25" s="10" t="n">
        <f aca="false">'Target Inputs'!K6</f>
        <v>4000000</v>
      </c>
      <c r="L25" s="10" t="n">
        <f aca="false">G25*'VSL and Injuries'!$B$4+H25*'VSL and Injuries'!$B$4*I25+J25*'VSL and Injuries'!$K$6</f>
        <v>2354000</v>
      </c>
      <c r="M25" s="10" t="n">
        <f aca="false">K25*'VSL and Injuries'!$K$6*$AG25*E25</f>
        <v>14904000</v>
      </c>
      <c r="N25" s="10" t="n">
        <f aca="false">L25+M25</f>
        <v>17258000</v>
      </c>
      <c r="O25" s="4" t="n">
        <f aca="false">'Target Inputs'!L6</f>
        <v>1</v>
      </c>
      <c r="P25" s="4" t="n">
        <f aca="false">'Target Inputs'!M6</f>
        <v>5</v>
      </c>
      <c r="Q25" s="13" t="n">
        <f aca="false">'Target Inputs'!N6</f>
        <v>0.05</v>
      </c>
      <c r="R25" s="10" t="n">
        <f aca="false">'Target Inputs'!O6</f>
        <v>12000000</v>
      </c>
      <c r="S25" s="10" t="n">
        <f aca="false">'Target Inputs'!P6</f>
        <v>20000000</v>
      </c>
      <c r="T25" s="10" t="n">
        <f aca="false">O25*'VSL and Injuries'!$B$4+P25*'VSL and Injuries'!$B$4*Q25+R25*'VSL and Injuries'!$K$6</f>
        <v>30170000</v>
      </c>
      <c r="U25" s="10" t="n">
        <f aca="false">S25*'VSL and Injuries'!$K$6*$AG25*E25</f>
        <v>74520000</v>
      </c>
      <c r="V25" s="10" t="n">
        <f aca="false">T25+U25</f>
        <v>104690000</v>
      </c>
      <c r="W25" s="4" t="n">
        <f aca="false">'Target Inputs'!Q6</f>
        <v>5</v>
      </c>
      <c r="X25" s="4" t="n">
        <f aca="false">'Target Inputs'!R6</f>
        <v>20</v>
      </c>
      <c r="Y25" s="13" t="n">
        <f aca="false">'Target Inputs'!S6</f>
        <v>0.12</v>
      </c>
      <c r="Z25" s="10" t="n">
        <f aca="false">'Target Inputs'!T6</f>
        <v>75000000</v>
      </c>
      <c r="AA25" s="10" t="n">
        <f aca="false">'Target Inputs'!U6</f>
        <v>80000000</v>
      </c>
      <c r="AB25" s="10" t="n">
        <f aca="false">W25*'VSL and Injuries'!$B$4+X25*'VSL and Injuries'!$B$4*Y25+Z25*'VSL and Injuries'!$K$6</f>
        <v>182705000</v>
      </c>
      <c r="AC25" s="10" t="n">
        <f aca="false">AA25*'VSL and Injuries'!$K$6*$AG25*E25</f>
        <v>298080000</v>
      </c>
      <c r="AD25" s="10" t="n">
        <f aca="false">AB25+AC25</f>
        <v>480785000</v>
      </c>
      <c r="AE25" s="4" t="s">
        <v>382</v>
      </c>
      <c r="AF25" s="4" t="s">
        <v>386</v>
      </c>
      <c r="AG25" s="35" t="n">
        <f aca="false">IFERROR(INDEX('Duration Factors'!$G$4:$G$12,MATCH($B25,'Duration Factors'!$A$4:$A$12,0)),"")</f>
        <v>4</v>
      </c>
    </row>
    <row r="26" customFormat="false" ht="41.25" hidden="false" customHeight="true" outlineLevel="0" collapsed="false">
      <c r="A26" s="4" t="s">
        <v>384</v>
      </c>
      <c r="B26" s="4" t="s">
        <v>411</v>
      </c>
      <c r="C26" s="4" t="n">
        <v>168</v>
      </c>
      <c r="D26" s="34" t="n">
        <f aca="false">IFERROR(INDEX('Duration Factors'!$C$4:$C$12,MATCH($B26,'Duration Factors'!$A$4:$A$12,0)),"")</f>
        <v>7</v>
      </c>
      <c r="E26" s="34" t="n">
        <f aca="false">IFERROR(INDEX('Duration Factors'!$D$4:$D$12,MATCH($B26,'Duration Factors'!$A$4:$A$12,0)),"")</f>
        <v>1</v>
      </c>
      <c r="F26" s="4" t="s">
        <v>223</v>
      </c>
      <c r="G26" s="4" t="n">
        <f aca="false">'Target Inputs'!G6</f>
        <v>0</v>
      </c>
      <c r="H26" s="4" t="n">
        <f aca="false">'Target Inputs'!H6</f>
        <v>1</v>
      </c>
      <c r="I26" s="13" t="n">
        <f aca="false">'Target Inputs'!I6</f>
        <v>0.02</v>
      </c>
      <c r="J26" s="10" t="n">
        <f aca="false">'Target Inputs'!J6</f>
        <v>2000000</v>
      </c>
      <c r="K26" s="10" t="n">
        <f aca="false">'Target Inputs'!K6</f>
        <v>4000000</v>
      </c>
      <c r="L26" s="10" t="n">
        <f aca="false">G26*'VSL and Injuries'!$B$4+H26*'VSL and Injuries'!$B$4*I26+J26*'VSL and Injuries'!$K$6</f>
        <v>2354000</v>
      </c>
      <c r="M26" s="10" t="n">
        <f aca="false">K26*'VSL and Injuries'!$K$6*$AG26*E26</f>
        <v>37260000</v>
      </c>
      <c r="N26" s="10" t="n">
        <f aca="false">L26+M26</f>
        <v>39614000</v>
      </c>
      <c r="O26" s="4" t="n">
        <f aca="false">'Target Inputs'!L6</f>
        <v>1</v>
      </c>
      <c r="P26" s="4" t="n">
        <f aca="false">'Target Inputs'!M6</f>
        <v>5</v>
      </c>
      <c r="Q26" s="13" t="n">
        <f aca="false">'Target Inputs'!N6</f>
        <v>0.05</v>
      </c>
      <c r="R26" s="10" t="n">
        <f aca="false">'Target Inputs'!O6</f>
        <v>12000000</v>
      </c>
      <c r="S26" s="10" t="n">
        <f aca="false">'Target Inputs'!P6</f>
        <v>20000000</v>
      </c>
      <c r="T26" s="10" t="n">
        <f aca="false">O26*'VSL and Injuries'!$B$4+P26*'VSL and Injuries'!$B$4*Q26+R26*'VSL and Injuries'!$K$6</f>
        <v>30170000</v>
      </c>
      <c r="U26" s="10" t="n">
        <f aca="false">S26*'VSL and Injuries'!$K$6*$AG26*E26</f>
        <v>186300000</v>
      </c>
      <c r="V26" s="10" t="n">
        <f aca="false">T26+U26</f>
        <v>216470000</v>
      </c>
      <c r="W26" s="4" t="n">
        <f aca="false">'Target Inputs'!Q6</f>
        <v>5</v>
      </c>
      <c r="X26" s="4" t="n">
        <f aca="false">'Target Inputs'!R6</f>
        <v>20</v>
      </c>
      <c r="Y26" s="13" t="n">
        <f aca="false">'Target Inputs'!S6</f>
        <v>0.12</v>
      </c>
      <c r="Z26" s="10" t="n">
        <f aca="false">'Target Inputs'!T6</f>
        <v>75000000</v>
      </c>
      <c r="AA26" s="10" t="n">
        <f aca="false">'Target Inputs'!U6</f>
        <v>80000000</v>
      </c>
      <c r="AB26" s="10" t="n">
        <f aca="false">W26*'VSL and Injuries'!$B$4+X26*'VSL and Injuries'!$B$4*Y26+Z26*'VSL and Injuries'!$K$6</f>
        <v>182705000</v>
      </c>
      <c r="AC26" s="10" t="n">
        <f aca="false">AA26*'VSL and Injuries'!$K$6*$AG26*E26</f>
        <v>745200000</v>
      </c>
      <c r="AD26" s="10" t="n">
        <f aca="false">AB26+AC26</f>
        <v>927905000</v>
      </c>
      <c r="AE26" s="4" t="s">
        <v>382</v>
      </c>
      <c r="AF26" s="4" t="s">
        <v>386</v>
      </c>
      <c r="AG26" s="35" t="n">
        <f aca="false">IFERROR(INDEX('Duration Factors'!$G$4:$G$12,MATCH($B26,'Duration Factors'!$A$4:$A$12,0)),"")</f>
        <v>9</v>
      </c>
    </row>
    <row r="27" customFormat="false" ht="41.25" hidden="false" customHeight="true" outlineLevel="0" collapsed="false">
      <c r="A27" s="4" t="s">
        <v>384</v>
      </c>
      <c r="B27" s="4" t="s">
        <v>413</v>
      </c>
      <c r="C27" s="4" t="n">
        <v>336</v>
      </c>
      <c r="D27" s="34" t="n">
        <f aca="false">IFERROR(INDEX('Duration Factors'!$C$4:$C$12,MATCH($B27,'Duration Factors'!$A$4:$A$12,0)),"")</f>
        <v>14</v>
      </c>
      <c r="E27" s="34" t="n">
        <f aca="false">IFERROR(INDEX('Duration Factors'!$D$4:$D$12,MATCH($B27,'Duration Factors'!$A$4:$A$12,0)),"")</f>
        <v>1.1</v>
      </c>
      <c r="F27" s="4" t="s">
        <v>223</v>
      </c>
      <c r="G27" s="4" t="n">
        <f aca="false">'Target Inputs'!G6</f>
        <v>0</v>
      </c>
      <c r="H27" s="4" t="n">
        <f aca="false">'Target Inputs'!H6</f>
        <v>1</v>
      </c>
      <c r="I27" s="13" t="n">
        <f aca="false">'Target Inputs'!I6</f>
        <v>0.02</v>
      </c>
      <c r="J27" s="10" t="n">
        <f aca="false">'Target Inputs'!J6</f>
        <v>2000000</v>
      </c>
      <c r="K27" s="10" t="n">
        <f aca="false">'Target Inputs'!K6</f>
        <v>4000000</v>
      </c>
      <c r="L27" s="10" t="n">
        <f aca="false">G27*'VSL and Injuries'!$B$4+H27*'VSL and Injuries'!$B$4*I27+J27*'VSL and Injuries'!$K$6</f>
        <v>2354000</v>
      </c>
      <c r="M27" s="10" t="n">
        <f aca="false">K27*'VSL and Injuries'!$K$6*$AG27*E27</f>
        <v>77418000</v>
      </c>
      <c r="N27" s="10" t="n">
        <f aca="false">L27+M27</f>
        <v>79772000</v>
      </c>
      <c r="O27" s="4" t="n">
        <f aca="false">'Target Inputs'!L6</f>
        <v>1</v>
      </c>
      <c r="P27" s="4" t="n">
        <f aca="false">'Target Inputs'!M6</f>
        <v>5</v>
      </c>
      <c r="Q27" s="13" t="n">
        <f aca="false">'Target Inputs'!N6</f>
        <v>0.05</v>
      </c>
      <c r="R27" s="10" t="n">
        <f aca="false">'Target Inputs'!O6</f>
        <v>12000000</v>
      </c>
      <c r="S27" s="10" t="n">
        <f aca="false">'Target Inputs'!P6</f>
        <v>20000000</v>
      </c>
      <c r="T27" s="10" t="n">
        <f aca="false">O27*'VSL and Injuries'!$B$4+P27*'VSL and Injuries'!$B$4*Q27+R27*'VSL and Injuries'!$K$6</f>
        <v>30170000</v>
      </c>
      <c r="U27" s="10" t="n">
        <f aca="false">S27*'VSL and Injuries'!$K$6*$AG27*E27</f>
        <v>387090000</v>
      </c>
      <c r="V27" s="10" t="n">
        <f aca="false">T27+U27</f>
        <v>417260000</v>
      </c>
      <c r="W27" s="4" t="n">
        <f aca="false">'Target Inputs'!Q6</f>
        <v>5</v>
      </c>
      <c r="X27" s="4" t="n">
        <f aca="false">'Target Inputs'!R6</f>
        <v>20</v>
      </c>
      <c r="Y27" s="13" t="n">
        <f aca="false">'Target Inputs'!S6</f>
        <v>0.12</v>
      </c>
      <c r="Z27" s="10" t="n">
        <f aca="false">'Target Inputs'!T6</f>
        <v>75000000</v>
      </c>
      <c r="AA27" s="10" t="n">
        <f aca="false">'Target Inputs'!U6</f>
        <v>80000000</v>
      </c>
      <c r="AB27" s="10" t="n">
        <f aca="false">W27*'VSL and Injuries'!$B$4+X27*'VSL and Injuries'!$B$4*Y27+Z27*'VSL and Injuries'!$K$6</f>
        <v>182705000</v>
      </c>
      <c r="AC27" s="10" t="n">
        <f aca="false">AA27*'VSL and Injuries'!$K$6*$AG27*E27</f>
        <v>1548360000</v>
      </c>
      <c r="AD27" s="10" t="n">
        <f aca="false">AB27+AC27</f>
        <v>1731065000</v>
      </c>
      <c r="AE27" s="4" t="s">
        <v>382</v>
      </c>
      <c r="AF27" s="4" t="s">
        <v>386</v>
      </c>
      <c r="AG27" s="35" t="n">
        <f aca="false">IFERROR(INDEX('Duration Factors'!$G$4:$G$12,MATCH($B27,'Duration Factors'!$A$4:$A$12,0)),"")</f>
        <v>17</v>
      </c>
    </row>
    <row r="28" customFormat="false" ht="41.25" hidden="false" customHeight="true" outlineLevel="0" collapsed="false">
      <c r="A28" s="4" t="s">
        <v>384</v>
      </c>
      <c r="B28" s="4" t="s">
        <v>415</v>
      </c>
      <c r="C28" s="4" t="n">
        <v>720</v>
      </c>
      <c r="D28" s="34" t="n">
        <f aca="false">IFERROR(INDEX('Duration Factors'!$C$4:$C$12,MATCH($B28,'Duration Factors'!$A$4:$A$12,0)),"")</f>
        <v>30</v>
      </c>
      <c r="E28" s="34" t="n">
        <f aca="false">IFERROR(INDEX('Duration Factors'!$D$4:$D$12,MATCH($B28,'Duration Factors'!$A$4:$A$12,0)),"")</f>
        <v>1.2</v>
      </c>
      <c r="F28" s="4" t="s">
        <v>223</v>
      </c>
      <c r="G28" s="4" t="n">
        <f aca="false">'Target Inputs'!G6</f>
        <v>0</v>
      </c>
      <c r="H28" s="4" t="n">
        <f aca="false">'Target Inputs'!H6</f>
        <v>1</v>
      </c>
      <c r="I28" s="13" t="n">
        <f aca="false">'Target Inputs'!I6</f>
        <v>0.02</v>
      </c>
      <c r="J28" s="10" t="n">
        <f aca="false">'Target Inputs'!J6</f>
        <v>2000000</v>
      </c>
      <c r="K28" s="10" t="n">
        <f aca="false">'Target Inputs'!K6</f>
        <v>4000000</v>
      </c>
      <c r="L28" s="10" t="n">
        <f aca="false">G28*'VSL and Injuries'!$B$4+H28*'VSL and Injuries'!$B$4*I28+J28*'VSL and Injuries'!$K$6</f>
        <v>2354000</v>
      </c>
      <c r="M28" s="10" t="n">
        <f aca="false">K28*'VSL and Injuries'!$K$6*$AG28*E28</f>
        <v>173880000</v>
      </c>
      <c r="N28" s="10" t="n">
        <f aca="false">L28+M28</f>
        <v>176234000</v>
      </c>
      <c r="O28" s="4" t="n">
        <f aca="false">'Target Inputs'!L6</f>
        <v>1</v>
      </c>
      <c r="P28" s="4" t="n">
        <f aca="false">'Target Inputs'!M6</f>
        <v>5</v>
      </c>
      <c r="Q28" s="13" t="n">
        <f aca="false">'Target Inputs'!N6</f>
        <v>0.05</v>
      </c>
      <c r="R28" s="10" t="n">
        <f aca="false">'Target Inputs'!O6</f>
        <v>12000000</v>
      </c>
      <c r="S28" s="10" t="n">
        <f aca="false">'Target Inputs'!P6</f>
        <v>20000000</v>
      </c>
      <c r="T28" s="10" t="n">
        <f aca="false">O28*'VSL and Injuries'!$B$4+P28*'VSL and Injuries'!$B$4*Q28+R28*'VSL and Injuries'!$K$6</f>
        <v>30170000</v>
      </c>
      <c r="U28" s="10" t="n">
        <f aca="false">S28*'VSL and Injuries'!$K$6*$AG28*E28</f>
        <v>869400000</v>
      </c>
      <c r="V28" s="10" t="n">
        <f aca="false">T28+U28</f>
        <v>899570000</v>
      </c>
      <c r="W28" s="4" t="n">
        <f aca="false">'Target Inputs'!Q6</f>
        <v>5</v>
      </c>
      <c r="X28" s="4" t="n">
        <f aca="false">'Target Inputs'!R6</f>
        <v>20</v>
      </c>
      <c r="Y28" s="13" t="n">
        <f aca="false">'Target Inputs'!S6</f>
        <v>0.12</v>
      </c>
      <c r="Z28" s="10" t="n">
        <f aca="false">'Target Inputs'!T6</f>
        <v>75000000</v>
      </c>
      <c r="AA28" s="10" t="n">
        <f aca="false">'Target Inputs'!U6</f>
        <v>80000000</v>
      </c>
      <c r="AB28" s="10" t="n">
        <f aca="false">W28*'VSL and Injuries'!$B$4+X28*'VSL and Injuries'!$B$4*Y28+Z28*'VSL and Injuries'!$K$6</f>
        <v>182705000</v>
      </c>
      <c r="AC28" s="10" t="n">
        <f aca="false">AA28*'VSL and Injuries'!$K$6*$AG28*E28</f>
        <v>3477600000</v>
      </c>
      <c r="AD28" s="10" t="n">
        <f aca="false">AB28+AC28</f>
        <v>3660305000</v>
      </c>
      <c r="AE28" s="4" t="s">
        <v>382</v>
      </c>
      <c r="AF28" s="4" t="s">
        <v>386</v>
      </c>
      <c r="AG28" s="35" t="n">
        <f aca="false">IFERROR(INDEX('Duration Factors'!$G$4:$G$12,MATCH($B28,'Duration Factors'!$A$4:$A$12,0)),"")</f>
        <v>35</v>
      </c>
    </row>
    <row r="29" customFormat="false" ht="41.25" hidden="false" customHeight="true" outlineLevel="0" collapsed="false">
      <c r="A29" s="4" t="s">
        <v>384</v>
      </c>
      <c r="B29" s="4" t="s">
        <v>417</v>
      </c>
      <c r="C29" s="4" t="n">
        <v>1080</v>
      </c>
      <c r="D29" s="34" t="n">
        <f aca="false">IFERROR(INDEX('Duration Factors'!$C$4:$C$12,MATCH($B29,'Duration Factors'!$A$4:$A$12,0)),"")</f>
        <v>45</v>
      </c>
      <c r="E29" s="34" t="n">
        <f aca="false">IFERROR(INDEX('Duration Factors'!$D$4:$D$12,MATCH($B29,'Duration Factors'!$A$4:$A$12,0)),"")</f>
        <v>1.3</v>
      </c>
      <c r="F29" s="4" t="s">
        <v>223</v>
      </c>
      <c r="G29" s="4" t="n">
        <f aca="false">'Target Inputs'!G6</f>
        <v>0</v>
      </c>
      <c r="H29" s="4" t="n">
        <f aca="false">'Target Inputs'!H6</f>
        <v>1</v>
      </c>
      <c r="I29" s="13" t="n">
        <f aca="false">'Target Inputs'!I6</f>
        <v>0.02</v>
      </c>
      <c r="J29" s="10" t="n">
        <f aca="false">'Target Inputs'!J6</f>
        <v>2000000</v>
      </c>
      <c r="K29" s="10" t="n">
        <f aca="false">'Target Inputs'!K6</f>
        <v>4000000</v>
      </c>
      <c r="L29" s="10" t="n">
        <f aca="false">G29*'VSL and Injuries'!$B$4+H29*'VSL and Injuries'!$B$4*I29+J29*'VSL and Injuries'!$K$6</f>
        <v>2354000</v>
      </c>
      <c r="M29" s="10" t="n">
        <f aca="false">K29*'VSL and Injuries'!$K$6*$AG29*E29</f>
        <v>296010000</v>
      </c>
      <c r="N29" s="10" t="n">
        <f aca="false">L29+M29</f>
        <v>298364000</v>
      </c>
      <c r="O29" s="4" t="n">
        <f aca="false">'Target Inputs'!L6</f>
        <v>1</v>
      </c>
      <c r="P29" s="4" t="n">
        <f aca="false">'Target Inputs'!M6</f>
        <v>5</v>
      </c>
      <c r="Q29" s="13" t="n">
        <f aca="false">'Target Inputs'!N6</f>
        <v>0.05</v>
      </c>
      <c r="R29" s="10" t="n">
        <f aca="false">'Target Inputs'!O6</f>
        <v>12000000</v>
      </c>
      <c r="S29" s="10" t="n">
        <f aca="false">'Target Inputs'!P6</f>
        <v>20000000</v>
      </c>
      <c r="T29" s="10" t="n">
        <f aca="false">O29*'VSL and Injuries'!$B$4+P29*'VSL and Injuries'!$B$4*Q29+R29*'VSL and Injuries'!$K$6</f>
        <v>30170000</v>
      </c>
      <c r="U29" s="10" t="n">
        <f aca="false">S29*'VSL and Injuries'!$K$6*$AG29*E29</f>
        <v>1480050000</v>
      </c>
      <c r="V29" s="10" t="n">
        <f aca="false">T29+U29</f>
        <v>1510220000</v>
      </c>
      <c r="W29" s="4" t="n">
        <f aca="false">'Target Inputs'!Q6</f>
        <v>5</v>
      </c>
      <c r="X29" s="4" t="n">
        <f aca="false">'Target Inputs'!R6</f>
        <v>20</v>
      </c>
      <c r="Y29" s="13" t="n">
        <f aca="false">'Target Inputs'!S6</f>
        <v>0.12</v>
      </c>
      <c r="Z29" s="10" t="n">
        <f aca="false">'Target Inputs'!T6</f>
        <v>75000000</v>
      </c>
      <c r="AA29" s="10" t="n">
        <f aca="false">'Target Inputs'!U6</f>
        <v>80000000</v>
      </c>
      <c r="AB29" s="10" t="n">
        <f aca="false">W29*'VSL and Injuries'!$B$4+X29*'VSL and Injuries'!$B$4*Y29+Z29*'VSL and Injuries'!$K$6</f>
        <v>182705000</v>
      </c>
      <c r="AC29" s="10" t="n">
        <f aca="false">AA29*'VSL and Injuries'!$K$6*$AG29*E29</f>
        <v>5920200000</v>
      </c>
      <c r="AD29" s="10" t="n">
        <f aca="false">AB29+AC29</f>
        <v>6102905000</v>
      </c>
      <c r="AE29" s="4" t="s">
        <v>382</v>
      </c>
      <c r="AF29" s="4" t="s">
        <v>386</v>
      </c>
      <c r="AG29" s="35" t="n">
        <f aca="false">IFERROR(INDEX('Duration Factors'!$G$4:$G$12,MATCH($B29,'Duration Factors'!$A$4:$A$12,0)),"")</f>
        <v>55</v>
      </c>
    </row>
    <row r="30" customFormat="false" ht="41.25" hidden="false" customHeight="true" outlineLevel="0" collapsed="false">
      <c r="A30" s="4" t="s">
        <v>384</v>
      </c>
      <c r="B30" s="4" t="s">
        <v>419</v>
      </c>
      <c r="C30" s="4" t="n">
        <v>2160</v>
      </c>
      <c r="D30" s="34" t="n">
        <f aca="false">IFERROR(INDEX('Duration Factors'!$C$4:$C$12,MATCH($B30,'Duration Factors'!$A$4:$A$12,0)),"")</f>
        <v>90</v>
      </c>
      <c r="E30" s="34" t="n">
        <f aca="false">IFERROR(INDEX('Duration Factors'!$D$4:$D$12,MATCH($B30,'Duration Factors'!$A$4:$A$12,0)),"")</f>
        <v>1.4</v>
      </c>
      <c r="F30" s="4" t="s">
        <v>223</v>
      </c>
      <c r="G30" s="4" t="n">
        <f aca="false">'Target Inputs'!G6</f>
        <v>0</v>
      </c>
      <c r="H30" s="4" t="n">
        <f aca="false">'Target Inputs'!H6</f>
        <v>1</v>
      </c>
      <c r="I30" s="13" t="n">
        <f aca="false">'Target Inputs'!I6</f>
        <v>0.02</v>
      </c>
      <c r="J30" s="10" t="n">
        <f aca="false">'Target Inputs'!J6</f>
        <v>2000000</v>
      </c>
      <c r="K30" s="10" t="n">
        <f aca="false">'Target Inputs'!K6</f>
        <v>4000000</v>
      </c>
      <c r="L30" s="10" t="n">
        <f aca="false">G30*'VSL and Injuries'!$B$4+H30*'VSL and Injuries'!$B$4*I30+J30*'VSL and Injuries'!$K$6</f>
        <v>2354000</v>
      </c>
      <c r="M30" s="10" t="n">
        <f aca="false">K30*'VSL and Injuries'!$K$6*$AG30*E30</f>
        <v>637560000</v>
      </c>
      <c r="N30" s="10" t="n">
        <f aca="false">L30+M30</f>
        <v>639914000</v>
      </c>
      <c r="O30" s="4" t="n">
        <f aca="false">'Target Inputs'!L6</f>
        <v>1</v>
      </c>
      <c r="P30" s="4" t="n">
        <f aca="false">'Target Inputs'!M6</f>
        <v>5</v>
      </c>
      <c r="Q30" s="13" t="n">
        <f aca="false">'Target Inputs'!N6</f>
        <v>0.05</v>
      </c>
      <c r="R30" s="10" t="n">
        <f aca="false">'Target Inputs'!O6</f>
        <v>12000000</v>
      </c>
      <c r="S30" s="10" t="n">
        <f aca="false">'Target Inputs'!P6</f>
        <v>20000000</v>
      </c>
      <c r="T30" s="10" t="n">
        <f aca="false">O30*'VSL and Injuries'!$B$4+P30*'VSL and Injuries'!$B$4*Q30+R30*'VSL and Injuries'!$K$6</f>
        <v>30170000</v>
      </c>
      <c r="U30" s="10" t="n">
        <f aca="false">S30*'VSL and Injuries'!$K$6*$AG30*E30</f>
        <v>3187800000</v>
      </c>
      <c r="V30" s="10" t="n">
        <f aca="false">T30+U30</f>
        <v>3217970000</v>
      </c>
      <c r="W30" s="4" t="n">
        <f aca="false">'Target Inputs'!Q6</f>
        <v>5</v>
      </c>
      <c r="X30" s="4" t="n">
        <f aca="false">'Target Inputs'!R6</f>
        <v>20</v>
      </c>
      <c r="Y30" s="13" t="n">
        <f aca="false">'Target Inputs'!S6</f>
        <v>0.12</v>
      </c>
      <c r="Z30" s="10" t="n">
        <f aca="false">'Target Inputs'!T6</f>
        <v>75000000</v>
      </c>
      <c r="AA30" s="10" t="n">
        <f aca="false">'Target Inputs'!U6</f>
        <v>80000000</v>
      </c>
      <c r="AB30" s="10" t="n">
        <f aca="false">W30*'VSL and Injuries'!$B$4+X30*'VSL and Injuries'!$B$4*Y30+Z30*'VSL and Injuries'!$K$6</f>
        <v>182705000</v>
      </c>
      <c r="AC30" s="10" t="n">
        <f aca="false">AA30*'VSL and Injuries'!$K$6*$AG30*E30</f>
        <v>12751200000</v>
      </c>
      <c r="AD30" s="10" t="n">
        <f aca="false">AB30+AC30</f>
        <v>12933905000</v>
      </c>
      <c r="AE30" s="4" t="s">
        <v>382</v>
      </c>
      <c r="AF30" s="4" t="s">
        <v>386</v>
      </c>
      <c r="AG30" s="35" t="n">
        <f aca="false">IFERROR(INDEX('Duration Factors'!$G$4:$G$12,MATCH($B30,'Duration Factors'!$A$4:$A$12,0)),"")</f>
        <v>110</v>
      </c>
    </row>
    <row r="31" customFormat="false" ht="41.25" hidden="false" customHeight="true" outlineLevel="0" collapsed="false">
      <c r="A31" s="4" t="s">
        <v>387</v>
      </c>
      <c r="B31" s="4" t="s">
        <v>404</v>
      </c>
      <c r="C31" s="4" t="n">
        <v>4</v>
      </c>
      <c r="D31" s="34" t="n">
        <f aca="false">IFERROR(INDEX('Duration Factors'!$C$4:$C$12,MATCH($B31,'Duration Factors'!$A$4:$A$12,0)),"")</f>
        <v>0.166666666666667</v>
      </c>
      <c r="E31" s="34" t="n">
        <f aca="false">IFERROR(INDEX('Duration Factors'!$D$4:$D$12,MATCH($B31,'Duration Factors'!$A$4:$A$12,0)),"")</f>
        <v>0.35</v>
      </c>
      <c r="F31" s="4" t="s">
        <v>234</v>
      </c>
      <c r="G31" s="4" t="n">
        <f aca="false">'Target Inputs'!G7</f>
        <v>0</v>
      </c>
      <c r="H31" s="4" t="n">
        <f aca="false">'Target Inputs'!H7</f>
        <v>5</v>
      </c>
      <c r="I31" s="13" t="n">
        <f aca="false">'Target Inputs'!I7</f>
        <v>0.025</v>
      </c>
      <c r="J31" s="10" t="n">
        <f aca="false">'Target Inputs'!J7</f>
        <v>25000000</v>
      </c>
      <c r="K31" s="10" t="n">
        <f aca="false">'Target Inputs'!K7</f>
        <v>5000000</v>
      </c>
      <c r="L31" s="10" t="n">
        <f aca="false">G31*'VSL and Injuries'!$B$4+H31*'VSL and Injuries'!$B$4*I31+J31*'VSL and Injuries'!$K$6</f>
        <v>27650000</v>
      </c>
      <c r="M31" s="10" t="n">
        <f aca="false">K31*'VSL and Injuries'!$K$6*$AG31*E31</f>
        <v>301875.000000001</v>
      </c>
      <c r="N31" s="10" t="n">
        <f aca="false">L31+M31</f>
        <v>27951875</v>
      </c>
      <c r="O31" s="4" t="n">
        <f aca="false">'Target Inputs'!L7</f>
        <v>5</v>
      </c>
      <c r="P31" s="4" t="n">
        <f aca="false">'Target Inputs'!M7</f>
        <v>50</v>
      </c>
      <c r="Q31" s="13" t="n">
        <f aca="false">'Target Inputs'!N7</f>
        <v>0.05</v>
      </c>
      <c r="R31" s="10" t="n">
        <f aca="false">'Target Inputs'!O7</f>
        <v>200000000</v>
      </c>
      <c r="S31" s="10" t="n">
        <f aca="false">'Target Inputs'!P7</f>
        <v>40000000</v>
      </c>
      <c r="T31" s="10" t="n">
        <f aca="false">O31*'VSL and Injuries'!$B$4+P31*'VSL and Injuries'!$B$4*Q31+R31*'VSL and Injuries'!$K$6</f>
        <v>313500000</v>
      </c>
      <c r="U31" s="10" t="n">
        <f aca="false">S31*'VSL and Injuries'!$K$6*$AG31*E31</f>
        <v>2415000</v>
      </c>
      <c r="V31" s="10" t="n">
        <f aca="false">T31+U31</f>
        <v>315915000</v>
      </c>
      <c r="W31" s="4" t="n">
        <f aca="false">'Target Inputs'!Q7</f>
        <v>30</v>
      </c>
      <c r="X31" s="4" t="n">
        <f aca="false">'Target Inputs'!R7</f>
        <v>250</v>
      </c>
      <c r="Y31" s="13" t="n">
        <f aca="false">'Target Inputs'!S7</f>
        <v>0.12</v>
      </c>
      <c r="Z31" s="10" t="n">
        <f aca="false">'Target Inputs'!T7</f>
        <v>1000000000</v>
      </c>
      <c r="AA31" s="10" t="n">
        <f aca="false">'Target Inputs'!U7</f>
        <v>200000000</v>
      </c>
      <c r="AB31" s="10" t="n">
        <f aca="false">W31*'VSL and Injuries'!$B$4+X31*'VSL and Injuries'!$B$4*Y31+Z31*'VSL and Injuries'!$K$6</f>
        <v>1887000000</v>
      </c>
      <c r="AC31" s="10" t="n">
        <f aca="false">AA31*'VSL and Injuries'!$K$6*$AG31*E31</f>
        <v>12075000</v>
      </c>
      <c r="AD31" s="10" t="n">
        <f aca="false">AB31+AC31</f>
        <v>1899075000</v>
      </c>
      <c r="AE31" s="4" t="s">
        <v>257</v>
      </c>
      <c r="AF31" s="4" t="s">
        <v>389</v>
      </c>
      <c r="AG31" s="35" t="n">
        <f aca="false">IFERROR(INDEX('Duration Factors'!$G$4:$G$12,MATCH($B31,'Duration Factors'!$A$4:$A$12,0)),"")</f>
        <v>0.166666666666667</v>
      </c>
    </row>
    <row r="32" customFormat="false" ht="41.25" hidden="false" customHeight="true" outlineLevel="0" collapsed="false">
      <c r="A32" s="4" t="s">
        <v>387</v>
      </c>
      <c r="B32" s="4" t="s">
        <v>406</v>
      </c>
      <c r="C32" s="4" t="n">
        <v>12</v>
      </c>
      <c r="D32" s="34" t="n">
        <f aca="false">IFERROR(INDEX('Duration Factors'!$C$4:$C$12,MATCH($B32,'Duration Factors'!$A$4:$A$12,0)),"")</f>
        <v>0.5</v>
      </c>
      <c r="E32" s="34" t="n">
        <f aca="false">IFERROR(INDEX('Duration Factors'!$D$4:$D$12,MATCH($B32,'Duration Factors'!$A$4:$A$12,0)),"")</f>
        <v>0.55</v>
      </c>
      <c r="F32" s="4" t="s">
        <v>234</v>
      </c>
      <c r="G32" s="4" t="n">
        <f aca="false">'Target Inputs'!G7</f>
        <v>0</v>
      </c>
      <c r="H32" s="4" t="n">
        <f aca="false">'Target Inputs'!H7</f>
        <v>5</v>
      </c>
      <c r="I32" s="13" t="n">
        <f aca="false">'Target Inputs'!I7</f>
        <v>0.025</v>
      </c>
      <c r="J32" s="10" t="n">
        <f aca="false">'Target Inputs'!J7</f>
        <v>25000000</v>
      </c>
      <c r="K32" s="10" t="n">
        <f aca="false">'Target Inputs'!K7</f>
        <v>5000000</v>
      </c>
      <c r="L32" s="10" t="n">
        <f aca="false">G32*'VSL and Injuries'!$B$4+H32*'VSL and Injuries'!$B$4*I32+J32*'VSL and Injuries'!$K$6</f>
        <v>27650000</v>
      </c>
      <c r="M32" s="10" t="n">
        <f aca="false">K32*'VSL and Injuries'!$K$6*$AG32*E32</f>
        <v>1423125</v>
      </c>
      <c r="N32" s="10" t="n">
        <f aca="false">L32+M32</f>
        <v>29073125</v>
      </c>
      <c r="O32" s="4" t="n">
        <f aca="false">'Target Inputs'!L7</f>
        <v>5</v>
      </c>
      <c r="P32" s="4" t="n">
        <f aca="false">'Target Inputs'!M7</f>
        <v>50</v>
      </c>
      <c r="Q32" s="13" t="n">
        <f aca="false">'Target Inputs'!N7</f>
        <v>0.05</v>
      </c>
      <c r="R32" s="10" t="n">
        <f aca="false">'Target Inputs'!O7</f>
        <v>200000000</v>
      </c>
      <c r="S32" s="10" t="n">
        <f aca="false">'Target Inputs'!P7</f>
        <v>40000000</v>
      </c>
      <c r="T32" s="10" t="n">
        <f aca="false">O32*'VSL and Injuries'!$B$4+P32*'VSL and Injuries'!$B$4*Q32+R32*'VSL and Injuries'!$K$6</f>
        <v>313500000</v>
      </c>
      <c r="U32" s="10" t="n">
        <f aca="false">S32*'VSL and Injuries'!$K$6*$AG32*E32</f>
        <v>11385000</v>
      </c>
      <c r="V32" s="10" t="n">
        <f aca="false">T32+U32</f>
        <v>324885000</v>
      </c>
      <c r="W32" s="4" t="n">
        <f aca="false">'Target Inputs'!Q7</f>
        <v>30</v>
      </c>
      <c r="X32" s="4" t="n">
        <f aca="false">'Target Inputs'!R7</f>
        <v>250</v>
      </c>
      <c r="Y32" s="13" t="n">
        <f aca="false">'Target Inputs'!S7</f>
        <v>0.12</v>
      </c>
      <c r="Z32" s="10" t="n">
        <f aca="false">'Target Inputs'!T7</f>
        <v>1000000000</v>
      </c>
      <c r="AA32" s="10" t="n">
        <f aca="false">'Target Inputs'!U7</f>
        <v>200000000</v>
      </c>
      <c r="AB32" s="10" t="n">
        <f aca="false">W32*'VSL and Injuries'!$B$4+X32*'VSL and Injuries'!$B$4*Y32+Z32*'VSL and Injuries'!$K$6</f>
        <v>1887000000</v>
      </c>
      <c r="AC32" s="10" t="n">
        <f aca="false">AA32*'VSL and Injuries'!$K$6*$AG32*E32</f>
        <v>56925000</v>
      </c>
      <c r="AD32" s="10" t="n">
        <f aca="false">AB32+AC32</f>
        <v>1943925000</v>
      </c>
      <c r="AE32" s="4" t="s">
        <v>257</v>
      </c>
      <c r="AF32" s="4" t="s">
        <v>389</v>
      </c>
      <c r="AG32" s="35" t="n">
        <f aca="false">IFERROR(INDEX('Duration Factors'!$G$4:$G$12,MATCH($B32,'Duration Factors'!$A$4:$A$12,0)),"")</f>
        <v>0.5</v>
      </c>
    </row>
    <row r="33" customFormat="false" ht="41.25" hidden="false" customHeight="true" outlineLevel="0" collapsed="false">
      <c r="A33" s="4" t="s">
        <v>387</v>
      </c>
      <c r="B33" s="4" t="s">
        <v>407</v>
      </c>
      <c r="C33" s="4" t="n">
        <v>24</v>
      </c>
      <c r="D33" s="34" t="n">
        <f aca="false">IFERROR(INDEX('Duration Factors'!$C$4:$C$12,MATCH($B33,'Duration Factors'!$A$4:$A$12,0)),"")</f>
        <v>1</v>
      </c>
      <c r="E33" s="34" t="n">
        <f aca="false">IFERROR(INDEX('Duration Factors'!$D$4:$D$12,MATCH($B33,'Duration Factors'!$A$4:$A$12,0)),"")</f>
        <v>0.7</v>
      </c>
      <c r="F33" s="4" t="s">
        <v>234</v>
      </c>
      <c r="G33" s="4" t="n">
        <f aca="false">'Target Inputs'!G7</f>
        <v>0</v>
      </c>
      <c r="H33" s="4" t="n">
        <f aca="false">'Target Inputs'!H7</f>
        <v>5</v>
      </c>
      <c r="I33" s="13" t="n">
        <f aca="false">'Target Inputs'!I7</f>
        <v>0.025</v>
      </c>
      <c r="J33" s="10" t="n">
        <f aca="false">'Target Inputs'!J7</f>
        <v>25000000</v>
      </c>
      <c r="K33" s="10" t="n">
        <f aca="false">'Target Inputs'!K7</f>
        <v>5000000</v>
      </c>
      <c r="L33" s="10" t="n">
        <f aca="false">G33*'VSL and Injuries'!$B$4+H33*'VSL and Injuries'!$B$4*I33+J33*'VSL and Injuries'!$K$6</f>
        <v>27650000</v>
      </c>
      <c r="M33" s="10" t="n">
        <f aca="false">K33*'VSL and Injuries'!$K$6*$AG33*E33</f>
        <v>3622500</v>
      </c>
      <c r="N33" s="10" t="n">
        <f aca="false">L33+M33</f>
        <v>31272500</v>
      </c>
      <c r="O33" s="4" t="n">
        <f aca="false">'Target Inputs'!L7</f>
        <v>5</v>
      </c>
      <c r="P33" s="4" t="n">
        <f aca="false">'Target Inputs'!M7</f>
        <v>50</v>
      </c>
      <c r="Q33" s="13" t="n">
        <f aca="false">'Target Inputs'!N7</f>
        <v>0.05</v>
      </c>
      <c r="R33" s="10" t="n">
        <f aca="false">'Target Inputs'!O7</f>
        <v>200000000</v>
      </c>
      <c r="S33" s="10" t="n">
        <f aca="false">'Target Inputs'!P7</f>
        <v>40000000</v>
      </c>
      <c r="T33" s="10" t="n">
        <f aca="false">O33*'VSL and Injuries'!$B$4+P33*'VSL and Injuries'!$B$4*Q33+R33*'VSL and Injuries'!$K$6</f>
        <v>313500000</v>
      </c>
      <c r="U33" s="10" t="n">
        <f aca="false">S33*'VSL and Injuries'!$K$6*$AG33*E33</f>
        <v>28980000</v>
      </c>
      <c r="V33" s="10" t="n">
        <f aca="false">T33+U33</f>
        <v>342480000</v>
      </c>
      <c r="W33" s="4" t="n">
        <f aca="false">'Target Inputs'!Q7</f>
        <v>30</v>
      </c>
      <c r="X33" s="4" t="n">
        <f aca="false">'Target Inputs'!R7</f>
        <v>250</v>
      </c>
      <c r="Y33" s="13" t="n">
        <f aca="false">'Target Inputs'!S7</f>
        <v>0.12</v>
      </c>
      <c r="Z33" s="10" t="n">
        <f aca="false">'Target Inputs'!T7</f>
        <v>1000000000</v>
      </c>
      <c r="AA33" s="10" t="n">
        <f aca="false">'Target Inputs'!U7</f>
        <v>200000000</v>
      </c>
      <c r="AB33" s="10" t="n">
        <f aca="false">W33*'VSL and Injuries'!$B$4+X33*'VSL and Injuries'!$B$4*Y33+Z33*'VSL and Injuries'!$K$6</f>
        <v>1887000000</v>
      </c>
      <c r="AC33" s="10" t="n">
        <f aca="false">AA33*'VSL and Injuries'!$K$6*$AG33*E33</f>
        <v>144900000</v>
      </c>
      <c r="AD33" s="10" t="n">
        <f aca="false">AB33+AC33</f>
        <v>2031900000</v>
      </c>
      <c r="AE33" s="4" t="s">
        <v>257</v>
      </c>
      <c r="AF33" s="4" t="s">
        <v>389</v>
      </c>
      <c r="AG33" s="35" t="n">
        <f aca="false">IFERROR(INDEX('Duration Factors'!$G$4:$G$12,MATCH($B33,'Duration Factors'!$A$4:$A$12,0)),"")</f>
        <v>1</v>
      </c>
    </row>
    <row r="34" customFormat="false" ht="41.25" hidden="false" customHeight="true" outlineLevel="0" collapsed="false">
      <c r="A34" s="4" t="s">
        <v>387</v>
      </c>
      <c r="B34" s="4" t="s">
        <v>409</v>
      </c>
      <c r="C34" s="4" t="n">
        <v>72</v>
      </c>
      <c r="D34" s="34" t="n">
        <f aca="false">IFERROR(INDEX('Duration Factors'!$C$4:$C$12,MATCH($B34,'Duration Factors'!$A$4:$A$12,0)),"")</f>
        <v>3</v>
      </c>
      <c r="E34" s="34" t="n">
        <f aca="false">IFERROR(INDEX('Duration Factors'!$D$4:$D$12,MATCH($B34,'Duration Factors'!$A$4:$A$12,0)),"")</f>
        <v>0.9</v>
      </c>
      <c r="F34" s="4" t="s">
        <v>234</v>
      </c>
      <c r="G34" s="4" t="n">
        <f aca="false">'Target Inputs'!G7</f>
        <v>0</v>
      </c>
      <c r="H34" s="4" t="n">
        <f aca="false">'Target Inputs'!H7</f>
        <v>5</v>
      </c>
      <c r="I34" s="13" t="n">
        <f aca="false">'Target Inputs'!I7</f>
        <v>0.025</v>
      </c>
      <c r="J34" s="10" t="n">
        <f aca="false">'Target Inputs'!J7</f>
        <v>25000000</v>
      </c>
      <c r="K34" s="10" t="n">
        <f aca="false">'Target Inputs'!K7</f>
        <v>5000000</v>
      </c>
      <c r="L34" s="10" t="n">
        <f aca="false">G34*'VSL and Injuries'!$B$4+H34*'VSL and Injuries'!$B$4*I34+J34*'VSL and Injuries'!$K$6</f>
        <v>27650000</v>
      </c>
      <c r="M34" s="10" t="n">
        <f aca="false">K34*'VSL and Injuries'!$K$6*$AG34*E34</f>
        <v>18630000</v>
      </c>
      <c r="N34" s="10" t="n">
        <f aca="false">L34+M34</f>
        <v>46280000</v>
      </c>
      <c r="O34" s="4" t="n">
        <f aca="false">'Target Inputs'!L7</f>
        <v>5</v>
      </c>
      <c r="P34" s="4" t="n">
        <f aca="false">'Target Inputs'!M7</f>
        <v>50</v>
      </c>
      <c r="Q34" s="13" t="n">
        <f aca="false">'Target Inputs'!N7</f>
        <v>0.05</v>
      </c>
      <c r="R34" s="10" t="n">
        <f aca="false">'Target Inputs'!O7</f>
        <v>200000000</v>
      </c>
      <c r="S34" s="10" t="n">
        <f aca="false">'Target Inputs'!P7</f>
        <v>40000000</v>
      </c>
      <c r="T34" s="10" t="n">
        <f aca="false">O34*'VSL and Injuries'!$B$4+P34*'VSL and Injuries'!$B$4*Q34+R34*'VSL and Injuries'!$K$6</f>
        <v>313500000</v>
      </c>
      <c r="U34" s="10" t="n">
        <f aca="false">S34*'VSL and Injuries'!$K$6*$AG34*E34</f>
        <v>149040000</v>
      </c>
      <c r="V34" s="10" t="n">
        <f aca="false">T34+U34</f>
        <v>462540000</v>
      </c>
      <c r="W34" s="4" t="n">
        <f aca="false">'Target Inputs'!Q7</f>
        <v>30</v>
      </c>
      <c r="X34" s="4" t="n">
        <f aca="false">'Target Inputs'!R7</f>
        <v>250</v>
      </c>
      <c r="Y34" s="13" t="n">
        <f aca="false">'Target Inputs'!S7</f>
        <v>0.12</v>
      </c>
      <c r="Z34" s="10" t="n">
        <f aca="false">'Target Inputs'!T7</f>
        <v>1000000000</v>
      </c>
      <c r="AA34" s="10" t="n">
        <f aca="false">'Target Inputs'!U7</f>
        <v>200000000</v>
      </c>
      <c r="AB34" s="10" t="n">
        <f aca="false">W34*'VSL and Injuries'!$B$4+X34*'VSL and Injuries'!$B$4*Y34+Z34*'VSL and Injuries'!$K$6</f>
        <v>1887000000</v>
      </c>
      <c r="AC34" s="10" t="n">
        <f aca="false">AA34*'VSL and Injuries'!$K$6*$AG34*E34</f>
        <v>745200000</v>
      </c>
      <c r="AD34" s="10" t="n">
        <f aca="false">AB34+AC34</f>
        <v>2632200000</v>
      </c>
      <c r="AE34" s="4" t="s">
        <v>257</v>
      </c>
      <c r="AF34" s="4" t="s">
        <v>389</v>
      </c>
      <c r="AG34" s="35" t="n">
        <f aca="false">IFERROR(INDEX('Duration Factors'!$G$4:$G$12,MATCH($B34,'Duration Factors'!$A$4:$A$12,0)),"")</f>
        <v>4</v>
      </c>
    </row>
    <row r="35" customFormat="false" ht="41.25" hidden="false" customHeight="true" outlineLevel="0" collapsed="false">
      <c r="A35" s="4" t="s">
        <v>387</v>
      </c>
      <c r="B35" s="4" t="s">
        <v>411</v>
      </c>
      <c r="C35" s="4" t="n">
        <v>168</v>
      </c>
      <c r="D35" s="34" t="n">
        <f aca="false">IFERROR(INDEX('Duration Factors'!$C$4:$C$12,MATCH($B35,'Duration Factors'!$A$4:$A$12,0)),"")</f>
        <v>7</v>
      </c>
      <c r="E35" s="34" t="n">
        <f aca="false">IFERROR(INDEX('Duration Factors'!$D$4:$D$12,MATCH($B35,'Duration Factors'!$A$4:$A$12,0)),"")</f>
        <v>1</v>
      </c>
      <c r="F35" s="4" t="s">
        <v>234</v>
      </c>
      <c r="G35" s="4" t="n">
        <f aca="false">'Target Inputs'!G7</f>
        <v>0</v>
      </c>
      <c r="H35" s="4" t="n">
        <f aca="false">'Target Inputs'!H7</f>
        <v>5</v>
      </c>
      <c r="I35" s="13" t="n">
        <f aca="false">'Target Inputs'!I7</f>
        <v>0.025</v>
      </c>
      <c r="J35" s="10" t="n">
        <f aca="false">'Target Inputs'!J7</f>
        <v>25000000</v>
      </c>
      <c r="K35" s="10" t="n">
        <f aca="false">'Target Inputs'!K7</f>
        <v>5000000</v>
      </c>
      <c r="L35" s="10" t="n">
        <f aca="false">G35*'VSL and Injuries'!$B$4+H35*'VSL and Injuries'!$B$4*I35+J35*'VSL and Injuries'!$K$6</f>
        <v>27650000</v>
      </c>
      <c r="M35" s="10" t="n">
        <f aca="false">K35*'VSL and Injuries'!$K$6*$AG35*E35</f>
        <v>46575000</v>
      </c>
      <c r="N35" s="10" t="n">
        <f aca="false">L35+M35</f>
        <v>74225000</v>
      </c>
      <c r="O35" s="4" t="n">
        <f aca="false">'Target Inputs'!L7</f>
        <v>5</v>
      </c>
      <c r="P35" s="4" t="n">
        <f aca="false">'Target Inputs'!M7</f>
        <v>50</v>
      </c>
      <c r="Q35" s="13" t="n">
        <f aca="false">'Target Inputs'!N7</f>
        <v>0.05</v>
      </c>
      <c r="R35" s="10" t="n">
        <f aca="false">'Target Inputs'!O7</f>
        <v>200000000</v>
      </c>
      <c r="S35" s="10" t="n">
        <f aca="false">'Target Inputs'!P7</f>
        <v>40000000</v>
      </c>
      <c r="T35" s="10" t="n">
        <f aca="false">O35*'VSL and Injuries'!$B$4+P35*'VSL and Injuries'!$B$4*Q35+R35*'VSL and Injuries'!$K$6</f>
        <v>313500000</v>
      </c>
      <c r="U35" s="10" t="n">
        <f aca="false">S35*'VSL and Injuries'!$K$6*$AG35*E35</f>
        <v>372600000</v>
      </c>
      <c r="V35" s="10" t="n">
        <f aca="false">T35+U35</f>
        <v>686100000</v>
      </c>
      <c r="W35" s="4" t="n">
        <f aca="false">'Target Inputs'!Q7</f>
        <v>30</v>
      </c>
      <c r="X35" s="4" t="n">
        <f aca="false">'Target Inputs'!R7</f>
        <v>250</v>
      </c>
      <c r="Y35" s="13" t="n">
        <f aca="false">'Target Inputs'!S7</f>
        <v>0.12</v>
      </c>
      <c r="Z35" s="10" t="n">
        <f aca="false">'Target Inputs'!T7</f>
        <v>1000000000</v>
      </c>
      <c r="AA35" s="10" t="n">
        <f aca="false">'Target Inputs'!U7</f>
        <v>200000000</v>
      </c>
      <c r="AB35" s="10" t="n">
        <f aca="false">W35*'VSL and Injuries'!$B$4+X35*'VSL and Injuries'!$B$4*Y35+Z35*'VSL and Injuries'!$K$6</f>
        <v>1887000000</v>
      </c>
      <c r="AC35" s="10" t="n">
        <f aca="false">AA35*'VSL and Injuries'!$K$6*$AG35*E35</f>
        <v>1863000000</v>
      </c>
      <c r="AD35" s="10" t="n">
        <f aca="false">AB35+AC35</f>
        <v>3750000000</v>
      </c>
      <c r="AE35" s="4" t="s">
        <v>257</v>
      </c>
      <c r="AF35" s="4" t="s">
        <v>389</v>
      </c>
      <c r="AG35" s="35" t="n">
        <f aca="false">IFERROR(INDEX('Duration Factors'!$G$4:$G$12,MATCH($B35,'Duration Factors'!$A$4:$A$12,0)),"")</f>
        <v>9</v>
      </c>
    </row>
    <row r="36" customFormat="false" ht="41.25" hidden="false" customHeight="true" outlineLevel="0" collapsed="false">
      <c r="A36" s="4" t="s">
        <v>387</v>
      </c>
      <c r="B36" s="4" t="s">
        <v>413</v>
      </c>
      <c r="C36" s="4" t="n">
        <v>336</v>
      </c>
      <c r="D36" s="34" t="n">
        <f aca="false">IFERROR(INDEX('Duration Factors'!$C$4:$C$12,MATCH($B36,'Duration Factors'!$A$4:$A$12,0)),"")</f>
        <v>14</v>
      </c>
      <c r="E36" s="34" t="n">
        <f aca="false">IFERROR(INDEX('Duration Factors'!$D$4:$D$12,MATCH($B36,'Duration Factors'!$A$4:$A$12,0)),"")</f>
        <v>1.1</v>
      </c>
      <c r="F36" s="4" t="s">
        <v>234</v>
      </c>
      <c r="G36" s="4" t="n">
        <f aca="false">'Target Inputs'!G7</f>
        <v>0</v>
      </c>
      <c r="H36" s="4" t="n">
        <f aca="false">'Target Inputs'!H7</f>
        <v>5</v>
      </c>
      <c r="I36" s="13" t="n">
        <f aca="false">'Target Inputs'!I7</f>
        <v>0.025</v>
      </c>
      <c r="J36" s="10" t="n">
        <f aca="false">'Target Inputs'!J7</f>
        <v>25000000</v>
      </c>
      <c r="K36" s="10" t="n">
        <f aca="false">'Target Inputs'!K7</f>
        <v>5000000</v>
      </c>
      <c r="L36" s="10" t="n">
        <f aca="false">G36*'VSL and Injuries'!$B$4+H36*'VSL and Injuries'!$B$4*I36+J36*'VSL and Injuries'!$K$6</f>
        <v>27650000</v>
      </c>
      <c r="M36" s="10" t="n">
        <f aca="false">K36*'VSL and Injuries'!$K$6*$AG36*E36</f>
        <v>96772500</v>
      </c>
      <c r="N36" s="10" t="n">
        <f aca="false">L36+M36</f>
        <v>124422500</v>
      </c>
      <c r="O36" s="4" t="n">
        <f aca="false">'Target Inputs'!L7</f>
        <v>5</v>
      </c>
      <c r="P36" s="4" t="n">
        <f aca="false">'Target Inputs'!M7</f>
        <v>50</v>
      </c>
      <c r="Q36" s="13" t="n">
        <f aca="false">'Target Inputs'!N7</f>
        <v>0.05</v>
      </c>
      <c r="R36" s="10" t="n">
        <f aca="false">'Target Inputs'!O7</f>
        <v>200000000</v>
      </c>
      <c r="S36" s="10" t="n">
        <f aca="false">'Target Inputs'!P7</f>
        <v>40000000</v>
      </c>
      <c r="T36" s="10" t="n">
        <f aca="false">O36*'VSL and Injuries'!$B$4+P36*'VSL and Injuries'!$B$4*Q36+R36*'VSL and Injuries'!$K$6</f>
        <v>313500000</v>
      </c>
      <c r="U36" s="10" t="n">
        <f aca="false">S36*'VSL and Injuries'!$K$6*$AG36*E36</f>
        <v>774180000</v>
      </c>
      <c r="V36" s="10" t="n">
        <f aca="false">T36+U36</f>
        <v>1087680000</v>
      </c>
      <c r="W36" s="4" t="n">
        <f aca="false">'Target Inputs'!Q7</f>
        <v>30</v>
      </c>
      <c r="X36" s="4" t="n">
        <f aca="false">'Target Inputs'!R7</f>
        <v>250</v>
      </c>
      <c r="Y36" s="13" t="n">
        <f aca="false">'Target Inputs'!S7</f>
        <v>0.12</v>
      </c>
      <c r="Z36" s="10" t="n">
        <f aca="false">'Target Inputs'!T7</f>
        <v>1000000000</v>
      </c>
      <c r="AA36" s="10" t="n">
        <f aca="false">'Target Inputs'!U7</f>
        <v>200000000</v>
      </c>
      <c r="AB36" s="10" t="n">
        <f aca="false">W36*'VSL and Injuries'!$B$4+X36*'VSL and Injuries'!$B$4*Y36+Z36*'VSL and Injuries'!$K$6</f>
        <v>1887000000</v>
      </c>
      <c r="AC36" s="10" t="n">
        <f aca="false">AA36*'VSL and Injuries'!$K$6*$AG36*E36</f>
        <v>3870900000</v>
      </c>
      <c r="AD36" s="10" t="n">
        <f aca="false">AB36+AC36</f>
        <v>5757900000</v>
      </c>
      <c r="AE36" s="4" t="s">
        <v>257</v>
      </c>
      <c r="AF36" s="4" t="s">
        <v>389</v>
      </c>
      <c r="AG36" s="35" t="n">
        <f aca="false">IFERROR(INDEX('Duration Factors'!$G$4:$G$12,MATCH($B36,'Duration Factors'!$A$4:$A$12,0)),"")</f>
        <v>17</v>
      </c>
    </row>
    <row r="37" customFormat="false" ht="41.25" hidden="false" customHeight="true" outlineLevel="0" collapsed="false">
      <c r="A37" s="4" t="s">
        <v>387</v>
      </c>
      <c r="B37" s="4" t="s">
        <v>415</v>
      </c>
      <c r="C37" s="4" t="n">
        <v>720</v>
      </c>
      <c r="D37" s="34" t="n">
        <f aca="false">IFERROR(INDEX('Duration Factors'!$C$4:$C$12,MATCH($B37,'Duration Factors'!$A$4:$A$12,0)),"")</f>
        <v>30</v>
      </c>
      <c r="E37" s="34" t="n">
        <f aca="false">IFERROR(INDEX('Duration Factors'!$D$4:$D$12,MATCH($B37,'Duration Factors'!$A$4:$A$12,0)),"")</f>
        <v>1.2</v>
      </c>
      <c r="F37" s="4" t="s">
        <v>234</v>
      </c>
      <c r="G37" s="4" t="n">
        <f aca="false">'Target Inputs'!G7</f>
        <v>0</v>
      </c>
      <c r="H37" s="4" t="n">
        <f aca="false">'Target Inputs'!H7</f>
        <v>5</v>
      </c>
      <c r="I37" s="13" t="n">
        <f aca="false">'Target Inputs'!I7</f>
        <v>0.025</v>
      </c>
      <c r="J37" s="10" t="n">
        <f aca="false">'Target Inputs'!J7</f>
        <v>25000000</v>
      </c>
      <c r="K37" s="10" t="n">
        <f aca="false">'Target Inputs'!K7</f>
        <v>5000000</v>
      </c>
      <c r="L37" s="10" t="n">
        <f aca="false">G37*'VSL and Injuries'!$B$4+H37*'VSL and Injuries'!$B$4*I37+J37*'VSL and Injuries'!$K$6</f>
        <v>27650000</v>
      </c>
      <c r="M37" s="10" t="n">
        <f aca="false">K37*'VSL and Injuries'!$K$6*$AG37*E37</f>
        <v>217350000</v>
      </c>
      <c r="N37" s="10" t="n">
        <f aca="false">L37+M37</f>
        <v>245000000</v>
      </c>
      <c r="O37" s="4" t="n">
        <f aca="false">'Target Inputs'!L7</f>
        <v>5</v>
      </c>
      <c r="P37" s="4" t="n">
        <f aca="false">'Target Inputs'!M7</f>
        <v>50</v>
      </c>
      <c r="Q37" s="13" t="n">
        <f aca="false">'Target Inputs'!N7</f>
        <v>0.05</v>
      </c>
      <c r="R37" s="10" t="n">
        <f aca="false">'Target Inputs'!O7</f>
        <v>200000000</v>
      </c>
      <c r="S37" s="10" t="n">
        <f aca="false">'Target Inputs'!P7</f>
        <v>40000000</v>
      </c>
      <c r="T37" s="10" t="n">
        <f aca="false">O37*'VSL and Injuries'!$B$4+P37*'VSL and Injuries'!$B$4*Q37+R37*'VSL and Injuries'!$K$6</f>
        <v>313500000</v>
      </c>
      <c r="U37" s="10" t="n">
        <f aca="false">S37*'VSL and Injuries'!$K$6*$AG37*E37</f>
        <v>1738800000</v>
      </c>
      <c r="V37" s="10" t="n">
        <f aca="false">T37+U37</f>
        <v>2052300000</v>
      </c>
      <c r="W37" s="4" t="n">
        <f aca="false">'Target Inputs'!Q7</f>
        <v>30</v>
      </c>
      <c r="X37" s="4" t="n">
        <f aca="false">'Target Inputs'!R7</f>
        <v>250</v>
      </c>
      <c r="Y37" s="13" t="n">
        <f aca="false">'Target Inputs'!S7</f>
        <v>0.12</v>
      </c>
      <c r="Z37" s="10" t="n">
        <f aca="false">'Target Inputs'!T7</f>
        <v>1000000000</v>
      </c>
      <c r="AA37" s="10" t="n">
        <f aca="false">'Target Inputs'!U7</f>
        <v>200000000</v>
      </c>
      <c r="AB37" s="10" t="n">
        <f aca="false">W37*'VSL and Injuries'!$B$4+X37*'VSL and Injuries'!$B$4*Y37+Z37*'VSL and Injuries'!$K$6</f>
        <v>1887000000</v>
      </c>
      <c r="AC37" s="10" t="n">
        <f aca="false">AA37*'VSL and Injuries'!$K$6*$AG37*E37</f>
        <v>8694000000</v>
      </c>
      <c r="AD37" s="10" t="n">
        <f aca="false">AB37+AC37</f>
        <v>10581000000</v>
      </c>
      <c r="AE37" s="4" t="s">
        <v>257</v>
      </c>
      <c r="AF37" s="4" t="s">
        <v>389</v>
      </c>
      <c r="AG37" s="35" t="n">
        <f aca="false">IFERROR(INDEX('Duration Factors'!$G$4:$G$12,MATCH($B37,'Duration Factors'!$A$4:$A$12,0)),"")</f>
        <v>35</v>
      </c>
    </row>
    <row r="38" customFormat="false" ht="41.25" hidden="false" customHeight="true" outlineLevel="0" collapsed="false">
      <c r="A38" s="4" t="s">
        <v>387</v>
      </c>
      <c r="B38" s="4" t="s">
        <v>417</v>
      </c>
      <c r="C38" s="4" t="n">
        <v>1080</v>
      </c>
      <c r="D38" s="34" t="n">
        <f aca="false">IFERROR(INDEX('Duration Factors'!$C$4:$C$12,MATCH($B38,'Duration Factors'!$A$4:$A$12,0)),"")</f>
        <v>45</v>
      </c>
      <c r="E38" s="34" t="n">
        <f aca="false">IFERROR(INDEX('Duration Factors'!$D$4:$D$12,MATCH($B38,'Duration Factors'!$A$4:$A$12,0)),"")</f>
        <v>1.3</v>
      </c>
      <c r="F38" s="4" t="s">
        <v>234</v>
      </c>
      <c r="G38" s="4" t="n">
        <f aca="false">'Target Inputs'!G7</f>
        <v>0</v>
      </c>
      <c r="H38" s="4" t="n">
        <f aca="false">'Target Inputs'!H7</f>
        <v>5</v>
      </c>
      <c r="I38" s="13" t="n">
        <f aca="false">'Target Inputs'!I7</f>
        <v>0.025</v>
      </c>
      <c r="J38" s="10" t="n">
        <f aca="false">'Target Inputs'!J7</f>
        <v>25000000</v>
      </c>
      <c r="K38" s="10" t="n">
        <f aca="false">'Target Inputs'!K7</f>
        <v>5000000</v>
      </c>
      <c r="L38" s="10" t="n">
        <f aca="false">G38*'VSL and Injuries'!$B$4+H38*'VSL and Injuries'!$B$4*I38+J38*'VSL and Injuries'!$K$6</f>
        <v>27650000</v>
      </c>
      <c r="M38" s="10" t="n">
        <f aca="false">K38*'VSL and Injuries'!$K$6*$AG38*E38</f>
        <v>370012500</v>
      </c>
      <c r="N38" s="10" t="n">
        <f aca="false">L38+M38</f>
        <v>397662500</v>
      </c>
      <c r="O38" s="4" t="n">
        <f aca="false">'Target Inputs'!L7</f>
        <v>5</v>
      </c>
      <c r="P38" s="4" t="n">
        <f aca="false">'Target Inputs'!M7</f>
        <v>50</v>
      </c>
      <c r="Q38" s="13" t="n">
        <f aca="false">'Target Inputs'!N7</f>
        <v>0.05</v>
      </c>
      <c r="R38" s="10" t="n">
        <f aca="false">'Target Inputs'!O7</f>
        <v>200000000</v>
      </c>
      <c r="S38" s="10" t="n">
        <f aca="false">'Target Inputs'!P7</f>
        <v>40000000</v>
      </c>
      <c r="T38" s="10" t="n">
        <f aca="false">O38*'VSL and Injuries'!$B$4+P38*'VSL and Injuries'!$B$4*Q38+R38*'VSL and Injuries'!$K$6</f>
        <v>313500000</v>
      </c>
      <c r="U38" s="10" t="n">
        <f aca="false">S38*'VSL and Injuries'!$K$6*$AG38*E38</f>
        <v>2960100000</v>
      </c>
      <c r="V38" s="10" t="n">
        <f aca="false">T38+U38</f>
        <v>3273600000</v>
      </c>
      <c r="W38" s="4" t="n">
        <f aca="false">'Target Inputs'!Q7</f>
        <v>30</v>
      </c>
      <c r="X38" s="4" t="n">
        <f aca="false">'Target Inputs'!R7</f>
        <v>250</v>
      </c>
      <c r="Y38" s="13" t="n">
        <f aca="false">'Target Inputs'!S7</f>
        <v>0.12</v>
      </c>
      <c r="Z38" s="10" t="n">
        <f aca="false">'Target Inputs'!T7</f>
        <v>1000000000</v>
      </c>
      <c r="AA38" s="10" t="n">
        <f aca="false">'Target Inputs'!U7</f>
        <v>200000000</v>
      </c>
      <c r="AB38" s="10" t="n">
        <f aca="false">W38*'VSL and Injuries'!$B$4+X38*'VSL and Injuries'!$B$4*Y38+Z38*'VSL and Injuries'!$K$6</f>
        <v>1887000000</v>
      </c>
      <c r="AC38" s="10" t="n">
        <f aca="false">AA38*'VSL and Injuries'!$K$6*$AG38*E38</f>
        <v>14800500000</v>
      </c>
      <c r="AD38" s="10" t="n">
        <f aca="false">AB38+AC38</f>
        <v>16687500000</v>
      </c>
      <c r="AE38" s="4" t="s">
        <v>257</v>
      </c>
      <c r="AF38" s="4" t="s">
        <v>389</v>
      </c>
      <c r="AG38" s="35" t="n">
        <f aca="false">IFERROR(INDEX('Duration Factors'!$G$4:$G$12,MATCH($B38,'Duration Factors'!$A$4:$A$12,0)),"")</f>
        <v>55</v>
      </c>
    </row>
    <row r="39" customFormat="false" ht="15" hidden="false" customHeight="true" outlineLevel="0" collapsed="false">
      <c r="A39" s="1" t="s">
        <v>387</v>
      </c>
      <c r="B39" s="1" t="s">
        <v>419</v>
      </c>
      <c r="C39" s="1" t="n">
        <v>2160</v>
      </c>
      <c r="D39" s="35" t="n">
        <f aca="false">IFERROR(INDEX('Duration Factors'!$C$4:$C$12,MATCH($B39,'Duration Factors'!$A$4:$A$12,0)),"")</f>
        <v>90</v>
      </c>
      <c r="E39" s="35" t="n">
        <f aca="false">IFERROR(INDEX('Duration Factors'!$D$4:$D$12,MATCH($B39,'Duration Factors'!$A$4:$A$12,0)),"")</f>
        <v>1.4</v>
      </c>
      <c r="F39" s="1" t="s">
        <v>234</v>
      </c>
      <c r="G39" s="1" t="n">
        <f aca="false">'Target Inputs'!G7</f>
        <v>0</v>
      </c>
      <c r="H39" s="1" t="n">
        <f aca="false">'Target Inputs'!H7</f>
        <v>5</v>
      </c>
      <c r="I39" s="18" t="n">
        <f aca="false">'Target Inputs'!I7</f>
        <v>0.025</v>
      </c>
      <c r="J39" s="19" t="n">
        <f aca="false">'Target Inputs'!J7</f>
        <v>25000000</v>
      </c>
      <c r="K39" s="19" t="n">
        <f aca="false">'Target Inputs'!K7</f>
        <v>5000000</v>
      </c>
      <c r="L39" s="19" t="n">
        <f aca="false">G39*'VSL and Injuries'!$B$4+H39*'VSL and Injuries'!$B$4*I39+J39*'VSL and Injuries'!$K$6</f>
        <v>27650000</v>
      </c>
      <c r="M39" s="19" t="n">
        <f aca="false">K39*'VSL and Injuries'!$K$6*$AG39*E39</f>
        <v>796950000</v>
      </c>
      <c r="N39" s="19" t="n">
        <f aca="false">L39+M39</f>
        <v>824600000</v>
      </c>
      <c r="O39" s="1" t="n">
        <f aca="false">'Target Inputs'!L7</f>
        <v>5</v>
      </c>
      <c r="P39" s="1" t="n">
        <f aca="false">'Target Inputs'!M7</f>
        <v>50</v>
      </c>
      <c r="Q39" s="18" t="n">
        <f aca="false">'Target Inputs'!N7</f>
        <v>0.05</v>
      </c>
      <c r="R39" s="19" t="n">
        <f aca="false">'Target Inputs'!O7</f>
        <v>200000000</v>
      </c>
      <c r="S39" s="19" t="n">
        <f aca="false">'Target Inputs'!P7</f>
        <v>40000000</v>
      </c>
      <c r="T39" s="19" t="n">
        <f aca="false">O39*'VSL and Injuries'!$B$4+P39*'VSL and Injuries'!$B$4*Q39+R39*'VSL and Injuries'!$K$6</f>
        <v>313500000</v>
      </c>
      <c r="U39" s="19" t="n">
        <f aca="false">S39*'VSL and Injuries'!$K$6*$AG39*E39</f>
        <v>6375600000</v>
      </c>
      <c r="V39" s="19" t="n">
        <f aca="false">T39+U39</f>
        <v>6689100000</v>
      </c>
      <c r="W39" s="1" t="n">
        <f aca="false">'Target Inputs'!Q7</f>
        <v>30</v>
      </c>
      <c r="X39" s="1" t="n">
        <f aca="false">'Target Inputs'!R7</f>
        <v>250</v>
      </c>
      <c r="Y39" s="18" t="n">
        <f aca="false">'Target Inputs'!S7</f>
        <v>0.12</v>
      </c>
      <c r="Z39" s="19" t="n">
        <f aca="false">'Target Inputs'!T7</f>
        <v>1000000000</v>
      </c>
      <c r="AA39" s="19" t="n">
        <f aca="false">'Target Inputs'!U7</f>
        <v>200000000</v>
      </c>
      <c r="AB39" s="19" t="n">
        <f aca="false">W39*'VSL and Injuries'!$B$4+X39*'VSL and Injuries'!$B$4*Y39+Z39*'VSL and Injuries'!$K$6</f>
        <v>1887000000</v>
      </c>
      <c r="AC39" s="19" t="n">
        <f aca="false">AA39*'VSL and Injuries'!$K$6*$AG39*E39</f>
        <v>31878000000</v>
      </c>
      <c r="AD39" s="19" t="n">
        <f aca="false">AB39+AC39</f>
        <v>33765000000</v>
      </c>
      <c r="AE39" s="1" t="s">
        <v>257</v>
      </c>
      <c r="AF39" s="1" t="s">
        <v>389</v>
      </c>
      <c r="AG39" s="35" t="n">
        <f aca="false">IFERROR(INDEX('Duration Factors'!$G$4:$G$12,MATCH($B39,'Duration Factors'!$A$4:$A$12,0)),"")</f>
        <v>110</v>
      </c>
    </row>
    <row r="40" customFormat="false" ht="15" hidden="false" customHeight="true" outlineLevel="0" collapsed="false">
      <c r="A40" s="1" t="s">
        <v>390</v>
      </c>
      <c r="B40" s="1" t="s">
        <v>404</v>
      </c>
      <c r="C40" s="1" t="n">
        <v>4</v>
      </c>
      <c r="D40" s="35" t="n">
        <f aca="false">IFERROR(INDEX('Duration Factors'!$C$4:$C$12,MATCH($B40,'Duration Factors'!$A$4:$A$12,0)),"")</f>
        <v>0.166666666666667</v>
      </c>
      <c r="E40" s="35" t="n">
        <f aca="false">IFERROR(INDEX('Duration Factors'!$D$4:$D$12,MATCH($B40,'Duration Factors'!$A$4:$A$12,0)),"")</f>
        <v>0.35</v>
      </c>
      <c r="F40" s="1" t="s">
        <v>234</v>
      </c>
      <c r="G40" s="1" t="n">
        <f aca="false">'Target Inputs'!G8</f>
        <v>0</v>
      </c>
      <c r="H40" s="1" t="n">
        <f aca="false">'Target Inputs'!H8</f>
        <v>1</v>
      </c>
      <c r="I40" s="18" t="n">
        <f aca="false">'Target Inputs'!I8</f>
        <v>0.02</v>
      </c>
      <c r="J40" s="19" t="n">
        <f aca="false">'Target Inputs'!J8</f>
        <v>2000000</v>
      </c>
      <c r="K40" s="19" t="n">
        <f aca="false">'Target Inputs'!K8</f>
        <v>2000000</v>
      </c>
      <c r="L40" s="19" t="n">
        <f aca="false">G40*'VSL and Injuries'!$B$4+H40*'VSL and Injuries'!$B$4*I40+J40*'VSL and Injuries'!$K$6</f>
        <v>2354000</v>
      </c>
      <c r="M40" s="19" t="n">
        <f aca="false">K40*'VSL and Injuries'!$K$6*$AG40*E40</f>
        <v>120750</v>
      </c>
      <c r="N40" s="19" t="n">
        <f aca="false">L40+M40</f>
        <v>2474750</v>
      </c>
      <c r="O40" s="1" t="n">
        <f aca="false">'Target Inputs'!L8</f>
        <v>1</v>
      </c>
      <c r="P40" s="1" t="n">
        <f aca="false">'Target Inputs'!M8</f>
        <v>8</v>
      </c>
      <c r="Q40" s="18" t="n">
        <f aca="false">'Target Inputs'!N8</f>
        <v>0.05</v>
      </c>
      <c r="R40" s="19" t="n">
        <f aca="false">'Target Inputs'!O8</f>
        <v>20000000</v>
      </c>
      <c r="S40" s="19" t="n">
        <f aca="false">'Target Inputs'!P8</f>
        <v>15000000</v>
      </c>
      <c r="T40" s="19" t="n">
        <f aca="false">O40*'VSL and Injuries'!$B$4+P40*'VSL and Injuries'!$B$4*Q40+R40*'VSL and Injuries'!$K$6</f>
        <v>40580000</v>
      </c>
      <c r="U40" s="19" t="n">
        <f aca="false">S40*'VSL and Injuries'!$K$6*$AG40*E40</f>
        <v>905625.000000002</v>
      </c>
      <c r="V40" s="19" t="n">
        <f aca="false">T40+U40</f>
        <v>41485625</v>
      </c>
      <c r="W40" s="1" t="n">
        <f aca="false">'Target Inputs'!Q8</f>
        <v>10</v>
      </c>
      <c r="X40" s="1" t="n">
        <f aca="false">'Target Inputs'!R8</f>
        <v>50</v>
      </c>
      <c r="Y40" s="18" t="n">
        <f aca="false">'Target Inputs'!S8</f>
        <v>0.12</v>
      </c>
      <c r="Z40" s="19" t="n">
        <f aca="false">'Target Inputs'!T8</f>
        <v>150000000</v>
      </c>
      <c r="AA40" s="19" t="n">
        <f aca="false">'Target Inputs'!U8</f>
        <v>75000000</v>
      </c>
      <c r="AB40" s="19" t="n">
        <f aca="false">W40*'VSL and Injuries'!$B$4+X40*'VSL and Injuries'!$B$4*Y40+Z40*'VSL and Injuries'!$K$6</f>
        <v>382450000</v>
      </c>
      <c r="AC40" s="19" t="n">
        <f aca="false">AA40*'VSL and Injuries'!$K$6*$AG40*E40</f>
        <v>4528125.00000001</v>
      </c>
      <c r="AD40" s="19" t="n">
        <f aca="false">AB40+AC40</f>
        <v>386978125</v>
      </c>
      <c r="AE40" s="1" t="s">
        <v>392</v>
      </c>
      <c r="AF40" s="1" t="s">
        <v>393</v>
      </c>
      <c r="AG40" s="35" t="n">
        <f aca="false">IFERROR(INDEX('Duration Factors'!$G$4:$G$12,MATCH($B40,'Duration Factors'!$A$4:$A$12,0)),"")</f>
        <v>0.166666666666667</v>
      </c>
    </row>
    <row r="41" customFormat="false" ht="15" hidden="false" customHeight="true" outlineLevel="0" collapsed="false">
      <c r="A41" s="1" t="s">
        <v>390</v>
      </c>
      <c r="B41" s="1" t="s">
        <v>406</v>
      </c>
      <c r="C41" s="1" t="n">
        <v>12</v>
      </c>
      <c r="D41" s="35" t="n">
        <f aca="false">IFERROR(INDEX('Duration Factors'!$C$4:$C$12,MATCH($B41,'Duration Factors'!$A$4:$A$12,0)),"")</f>
        <v>0.5</v>
      </c>
      <c r="E41" s="35" t="n">
        <f aca="false">IFERROR(INDEX('Duration Factors'!$D$4:$D$12,MATCH($B41,'Duration Factors'!$A$4:$A$12,0)),"")</f>
        <v>0.55</v>
      </c>
      <c r="F41" s="1" t="s">
        <v>234</v>
      </c>
      <c r="G41" s="1" t="n">
        <f aca="false">'Target Inputs'!G8</f>
        <v>0</v>
      </c>
      <c r="H41" s="1" t="n">
        <f aca="false">'Target Inputs'!H8</f>
        <v>1</v>
      </c>
      <c r="I41" s="18" t="n">
        <f aca="false">'Target Inputs'!I8</f>
        <v>0.02</v>
      </c>
      <c r="J41" s="19" t="n">
        <f aca="false">'Target Inputs'!J8</f>
        <v>2000000</v>
      </c>
      <c r="K41" s="19" t="n">
        <f aca="false">'Target Inputs'!K8</f>
        <v>2000000</v>
      </c>
      <c r="L41" s="19" t="n">
        <f aca="false">G41*'VSL and Injuries'!$B$4+H41*'VSL and Injuries'!$B$4*I41+J41*'VSL and Injuries'!$K$6</f>
        <v>2354000</v>
      </c>
      <c r="M41" s="19" t="n">
        <f aca="false">K41*'VSL and Injuries'!$K$6*$AG41*E41</f>
        <v>569250</v>
      </c>
      <c r="N41" s="19" t="n">
        <f aca="false">L41+M41</f>
        <v>2923250</v>
      </c>
      <c r="O41" s="1" t="n">
        <f aca="false">'Target Inputs'!L8</f>
        <v>1</v>
      </c>
      <c r="P41" s="1" t="n">
        <f aca="false">'Target Inputs'!M8</f>
        <v>8</v>
      </c>
      <c r="Q41" s="18" t="n">
        <f aca="false">'Target Inputs'!N8</f>
        <v>0.05</v>
      </c>
      <c r="R41" s="19" t="n">
        <f aca="false">'Target Inputs'!O8</f>
        <v>20000000</v>
      </c>
      <c r="S41" s="19" t="n">
        <f aca="false">'Target Inputs'!P8</f>
        <v>15000000</v>
      </c>
      <c r="T41" s="19" t="n">
        <f aca="false">O41*'VSL and Injuries'!$B$4+P41*'VSL and Injuries'!$B$4*Q41+R41*'VSL and Injuries'!$K$6</f>
        <v>40580000</v>
      </c>
      <c r="U41" s="19" t="n">
        <f aca="false">S41*'VSL and Injuries'!$K$6*$AG41*E41</f>
        <v>4269375</v>
      </c>
      <c r="V41" s="19" t="n">
        <f aca="false">T41+U41</f>
        <v>44849375</v>
      </c>
      <c r="W41" s="1" t="n">
        <f aca="false">'Target Inputs'!Q8</f>
        <v>10</v>
      </c>
      <c r="X41" s="1" t="n">
        <f aca="false">'Target Inputs'!R8</f>
        <v>50</v>
      </c>
      <c r="Y41" s="18" t="n">
        <f aca="false">'Target Inputs'!S8</f>
        <v>0.12</v>
      </c>
      <c r="Z41" s="19" t="n">
        <f aca="false">'Target Inputs'!T8</f>
        <v>150000000</v>
      </c>
      <c r="AA41" s="19" t="n">
        <f aca="false">'Target Inputs'!U8</f>
        <v>75000000</v>
      </c>
      <c r="AB41" s="19" t="n">
        <f aca="false">W41*'VSL and Injuries'!$B$4+X41*'VSL and Injuries'!$B$4*Y41+Z41*'VSL and Injuries'!$K$6</f>
        <v>382450000</v>
      </c>
      <c r="AC41" s="19" t="n">
        <f aca="false">AA41*'VSL and Injuries'!$K$6*$AG41*E41</f>
        <v>21346875</v>
      </c>
      <c r="AD41" s="19" t="n">
        <f aca="false">AB41+AC41</f>
        <v>403796875</v>
      </c>
      <c r="AE41" s="1" t="s">
        <v>392</v>
      </c>
      <c r="AF41" s="1" t="s">
        <v>393</v>
      </c>
      <c r="AG41" s="35" t="n">
        <f aca="false">IFERROR(INDEX('Duration Factors'!$G$4:$G$12,MATCH($B41,'Duration Factors'!$A$4:$A$12,0)),"")</f>
        <v>0.5</v>
      </c>
    </row>
    <row r="42" customFormat="false" ht="15" hidden="false" customHeight="true" outlineLevel="0" collapsed="false">
      <c r="A42" s="1" t="s">
        <v>390</v>
      </c>
      <c r="B42" s="1" t="s">
        <v>407</v>
      </c>
      <c r="C42" s="1" t="n">
        <v>24</v>
      </c>
      <c r="D42" s="35" t="n">
        <f aca="false">IFERROR(INDEX('Duration Factors'!$C$4:$C$12,MATCH($B42,'Duration Factors'!$A$4:$A$12,0)),"")</f>
        <v>1</v>
      </c>
      <c r="E42" s="35" t="n">
        <f aca="false">IFERROR(INDEX('Duration Factors'!$D$4:$D$12,MATCH($B42,'Duration Factors'!$A$4:$A$12,0)),"")</f>
        <v>0.7</v>
      </c>
      <c r="F42" s="1" t="s">
        <v>234</v>
      </c>
      <c r="G42" s="1" t="n">
        <f aca="false">'Target Inputs'!G8</f>
        <v>0</v>
      </c>
      <c r="H42" s="1" t="n">
        <f aca="false">'Target Inputs'!H8</f>
        <v>1</v>
      </c>
      <c r="I42" s="18" t="n">
        <f aca="false">'Target Inputs'!I8</f>
        <v>0.02</v>
      </c>
      <c r="J42" s="19" t="n">
        <f aca="false">'Target Inputs'!J8</f>
        <v>2000000</v>
      </c>
      <c r="K42" s="19" t="n">
        <f aca="false">'Target Inputs'!K8</f>
        <v>2000000</v>
      </c>
      <c r="L42" s="19" t="n">
        <f aca="false">G42*'VSL and Injuries'!$B$4+H42*'VSL and Injuries'!$B$4*I42+J42*'VSL and Injuries'!$K$6</f>
        <v>2354000</v>
      </c>
      <c r="M42" s="19" t="n">
        <f aca="false">K42*'VSL and Injuries'!$K$6*$AG42*E42</f>
        <v>1449000</v>
      </c>
      <c r="N42" s="19" t="n">
        <f aca="false">L42+M42</f>
        <v>3803000</v>
      </c>
      <c r="O42" s="1" t="n">
        <f aca="false">'Target Inputs'!L8</f>
        <v>1</v>
      </c>
      <c r="P42" s="1" t="n">
        <f aca="false">'Target Inputs'!M8</f>
        <v>8</v>
      </c>
      <c r="Q42" s="18" t="n">
        <f aca="false">'Target Inputs'!N8</f>
        <v>0.05</v>
      </c>
      <c r="R42" s="19" t="n">
        <f aca="false">'Target Inputs'!O8</f>
        <v>20000000</v>
      </c>
      <c r="S42" s="19" t="n">
        <f aca="false">'Target Inputs'!P8</f>
        <v>15000000</v>
      </c>
      <c r="T42" s="19" t="n">
        <f aca="false">O42*'VSL and Injuries'!$B$4+P42*'VSL and Injuries'!$B$4*Q42+R42*'VSL and Injuries'!$K$6</f>
        <v>40580000</v>
      </c>
      <c r="U42" s="19" t="n">
        <f aca="false">S42*'VSL and Injuries'!$K$6*$AG42*E42</f>
        <v>10867500</v>
      </c>
      <c r="V42" s="19" t="n">
        <f aca="false">T42+U42</f>
        <v>51447500</v>
      </c>
      <c r="W42" s="1" t="n">
        <f aca="false">'Target Inputs'!Q8</f>
        <v>10</v>
      </c>
      <c r="X42" s="1" t="n">
        <f aca="false">'Target Inputs'!R8</f>
        <v>50</v>
      </c>
      <c r="Y42" s="18" t="n">
        <f aca="false">'Target Inputs'!S8</f>
        <v>0.12</v>
      </c>
      <c r="Z42" s="19" t="n">
        <f aca="false">'Target Inputs'!T8</f>
        <v>150000000</v>
      </c>
      <c r="AA42" s="19" t="n">
        <f aca="false">'Target Inputs'!U8</f>
        <v>75000000</v>
      </c>
      <c r="AB42" s="19" t="n">
        <f aca="false">W42*'VSL and Injuries'!$B$4+X42*'VSL and Injuries'!$B$4*Y42+Z42*'VSL and Injuries'!$K$6</f>
        <v>382450000</v>
      </c>
      <c r="AC42" s="19" t="n">
        <f aca="false">AA42*'VSL and Injuries'!$K$6*$AG42*E42</f>
        <v>54337500</v>
      </c>
      <c r="AD42" s="19" t="n">
        <f aca="false">AB42+AC42</f>
        <v>436787500</v>
      </c>
      <c r="AE42" s="1" t="s">
        <v>392</v>
      </c>
      <c r="AF42" s="1" t="s">
        <v>393</v>
      </c>
      <c r="AG42" s="35" t="n">
        <f aca="false">IFERROR(INDEX('Duration Factors'!$G$4:$G$12,MATCH($B42,'Duration Factors'!$A$4:$A$12,0)),"")</f>
        <v>1</v>
      </c>
    </row>
    <row r="43" customFormat="false" ht="15" hidden="false" customHeight="true" outlineLevel="0" collapsed="false">
      <c r="A43" s="1" t="s">
        <v>390</v>
      </c>
      <c r="B43" s="1" t="s">
        <v>409</v>
      </c>
      <c r="C43" s="1" t="n">
        <v>72</v>
      </c>
      <c r="D43" s="35" t="n">
        <f aca="false">IFERROR(INDEX('Duration Factors'!$C$4:$C$12,MATCH($B43,'Duration Factors'!$A$4:$A$12,0)),"")</f>
        <v>3</v>
      </c>
      <c r="E43" s="35" t="n">
        <f aca="false">IFERROR(INDEX('Duration Factors'!$D$4:$D$12,MATCH($B43,'Duration Factors'!$A$4:$A$12,0)),"")</f>
        <v>0.9</v>
      </c>
      <c r="F43" s="1" t="s">
        <v>234</v>
      </c>
      <c r="G43" s="1" t="n">
        <f aca="false">'Target Inputs'!G8</f>
        <v>0</v>
      </c>
      <c r="H43" s="1" t="n">
        <f aca="false">'Target Inputs'!H8</f>
        <v>1</v>
      </c>
      <c r="I43" s="18" t="n">
        <f aca="false">'Target Inputs'!I8</f>
        <v>0.02</v>
      </c>
      <c r="J43" s="19" t="n">
        <f aca="false">'Target Inputs'!J8</f>
        <v>2000000</v>
      </c>
      <c r="K43" s="19" t="n">
        <f aca="false">'Target Inputs'!K8</f>
        <v>2000000</v>
      </c>
      <c r="L43" s="19" t="n">
        <f aca="false">G43*'VSL and Injuries'!$B$4+H43*'VSL and Injuries'!$B$4*I43+J43*'VSL and Injuries'!$K$6</f>
        <v>2354000</v>
      </c>
      <c r="M43" s="19" t="n">
        <f aca="false">K43*'VSL and Injuries'!$K$6*$AG43*E43</f>
        <v>7452000</v>
      </c>
      <c r="N43" s="19" t="n">
        <f aca="false">L43+M43</f>
        <v>9806000</v>
      </c>
      <c r="O43" s="1" t="n">
        <f aca="false">'Target Inputs'!L8</f>
        <v>1</v>
      </c>
      <c r="P43" s="1" t="n">
        <f aca="false">'Target Inputs'!M8</f>
        <v>8</v>
      </c>
      <c r="Q43" s="18" t="n">
        <f aca="false">'Target Inputs'!N8</f>
        <v>0.05</v>
      </c>
      <c r="R43" s="19" t="n">
        <f aca="false">'Target Inputs'!O8</f>
        <v>20000000</v>
      </c>
      <c r="S43" s="19" t="n">
        <f aca="false">'Target Inputs'!P8</f>
        <v>15000000</v>
      </c>
      <c r="T43" s="19" t="n">
        <f aca="false">O43*'VSL and Injuries'!$B$4+P43*'VSL and Injuries'!$B$4*Q43+R43*'VSL and Injuries'!$K$6</f>
        <v>40580000</v>
      </c>
      <c r="U43" s="19" t="n">
        <f aca="false">S43*'VSL and Injuries'!$K$6*$AG43*E43</f>
        <v>55890000</v>
      </c>
      <c r="V43" s="19" t="n">
        <f aca="false">T43+U43</f>
        <v>96470000</v>
      </c>
      <c r="W43" s="1" t="n">
        <f aca="false">'Target Inputs'!Q8</f>
        <v>10</v>
      </c>
      <c r="X43" s="1" t="n">
        <f aca="false">'Target Inputs'!R8</f>
        <v>50</v>
      </c>
      <c r="Y43" s="18" t="n">
        <f aca="false">'Target Inputs'!S8</f>
        <v>0.12</v>
      </c>
      <c r="Z43" s="19" t="n">
        <f aca="false">'Target Inputs'!T8</f>
        <v>150000000</v>
      </c>
      <c r="AA43" s="19" t="n">
        <f aca="false">'Target Inputs'!U8</f>
        <v>75000000</v>
      </c>
      <c r="AB43" s="19" t="n">
        <f aca="false">W43*'VSL and Injuries'!$B$4+X43*'VSL and Injuries'!$B$4*Y43+Z43*'VSL and Injuries'!$K$6</f>
        <v>382450000</v>
      </c>
      <c r="AC43" s="19" t="n">
        <f aca="false">AA43*'VSL and Injuries'!$K$6*$AG43*E43</f>
        <v>279450000</v>
      </c>
      <c r="AD43" s="19" t="n">
        <f aca="false">AB43+AC43</f>
        <v>661900000</v>
      </c>
      <c r="AE43" s="1" t="s">
        <v>392</v>
      </c>
      <c r="AF43" s="1" t="s">
        <v>393</v>
      </c>
      <c r="AG43" s="35" t="n">
        <f aca="false">IFERROR(INDEX('Duration Factors'!$G$4:$G$12,MATCH($B43,'Duration Factors'!$A$4:$A$12,0)),"")</f>
        <v>4</v>
      </c>
    </row>
    <row r="44" customFormat="false" ht="15" hidden="false" customHeight="true" outlineLevel="0" collapsed="false">
      <c r="A44" s="1" t="s">
        <v>390</v>
      </c>
      <c r="B44" s="1" t="s">
        <v>411</v>
      </c>
      <c r="C44" s="1" t="n">
        <v>168</v>
      </c>
      <c r="D44" s="35" t="n">
        <f aca="false">IFERROR(INDEX('Duration Factors'!$C$4:$C$12,MATCH($B44,'Duration Factors'!$A$4:$A$12,0)),"")</f>
        <v>7</v>
      </c>
      <c r="E44" s="35" t="n">
        <f aca="false">IFERROR(INDEX('Duration Factors'!$D$4:$D$12,MATCH($B44,'Duration Factors'!$A$4:$A$12,0)),"")</f>
        <v>1</v>
      </c>
      <c r="F44" s="1" t="s">
        <v>234</v>
      </c>
      <c r="G44" s="1" t="n">
        <f aca="false">'Target Inputs'!G8</f>
        <v>0</v>
      </c>
      <c r="H44" s="1" t="n">
        <f aca="false">'Target Inputs'!H8</f>
        <v>1</v>
      </c>
      <c r="I44" s="18" t="n">
        <f aca="false">'Target Inputs'!I8</f>
        <v>0.02</v>
      </c>
      <c r="J44" s="19" t="n">
        <f aca="false">'Target Inputs'!J8</f>
        <v>2000000</v>
      </c>
      <c r="K44" s="19" t="n">
        <f aca="false">'Target Inputs'!K8</f>
        <v>2000000</v>
      </c>
      <c r="L44" s="19" t="n">
        <f aca="false">G44*'VSL and Injuries'!$B$4+H44*'VSL and Injuries'!$B$4*I44+J44*'VSL and Injuries'!$K$6</f>
        <v>2354000</v>
      </c>
      <c r="M44" s="19" t="n">
        <f aca="false">K44*'VSL and Injuries'!$K$6*$AG44*E44</f>
        <v>18630000</v>
      </c>
      <c r="N44" s="19" t="n">
        <f aca="false">L44+M44</f>
        <v>20984000</v>
      </c>
      <c r="O44" s="1" t="n">
        <f aca="false">'Target Inputs'!L8</f>
        <v>1</v>
      </c>
      <c r="P44" s="1" t="n">
        <f aca="false">'Target Inputs'!M8</f>
        <v>8</v>
      </c>
      <c r="Q44" s="18" t="n">
        <f aca="false">'Target Inputs'!N8</f>
        <v>0.05</v>
      </c>
      <c r="R44" s="19" t="n">
        <f aca="false">'Target Inputs'!O8</f>
        <v>20000000</v>
      </c>
      <c r="S44" s="19" t="n">
        <f aca="false">'Target Inputs'!P8</f>
        <v>15000000</v>
      </c>
      <c r="T44" s="19" t="n">
        <f aca="false">O44*'VSL and Injuries'!$B$4+P44*'VSL and Injuries'!$B$4*Q44+R44*'VSL and Injuries'!$K$6</f>
        <v>40580000</v>
      </c>
      <c r="U44" s="19" t="n">
        <f aca="false">S44*'VSL and Injuries'!$K$6*$AG44*E44</f>
        <v>139725000</v>
      </c>
      <c r="V44" s="19" t="n">
        <f aca="false">T44+U44</f>
        <v>180305000</v>
      </c>
      <c r="W44" s="1" t="n">
        <f aca="false">'Target Inputs'!Q8</f>
        <v>10</v>
      </c>
      <c r="X44" s="1" t="n">
        <f aca="false">'Target Inputs'!R8</f>
        <v>50</v>
      </c>
      <c r="Y44" s="18" t="n">
        <f aca="false">'Target Inputs'!S8</f>
        <v>0.12</v>
      </c>
      <c r="Z44" s="19" t="n">
        <f aca="false">'Target Inputs'!T8</f>
        <v>150000000</v>
      </c>
      <c r="AA44" s="19" t="n">
        <f aca="false">'Target Inputs'!U8</f>
        <v>75000000</v>
      </c>
      <c r="AB44" s="19" t="n">
        <f aca="false">W44*'VSL and Injuries'!$B$4+X44*'VSL and Injuries'!$B$4*Y44+Z44*'VSL and Injuries'!$K$6</f>
        <v>382450000</v>
      </c>
      <c r="AC44" s="19" t="n">
        <f aca="false">AA44*'VSL and Injuries'!$K$6*$AG44*E44</f>
        <v>698625000</v>
      </c>
      <c r="AD44" s="19" t="n">
        <f aca="false">AB44+AC44</f>
        <v>1081075000</v>
      </c>
      <c r="AE44" s="1" t="s">
        <v>392</v>
      </c>
      <c r="AF44" s="1" t="s">
        <v>393</v>
      </c>
      <c r="AG44" s="35" t="n">
        <f aca="false">IFERROR(INDEX('Duration Factors'!$G$4:$G$12,MATCH($B44,'Duration Factors'!$A$4:$A$12,0)),"")</f>
        <v>9</v>
      </c>
    </row>
    <row r="45" customFormat="false" ht="15" hidden="false" customHeight="true" outlineLevel="0" collapsed="false">
      <c r="A45" s="1" t="s">
        <v>390</v>
      </c>
      <c r="B45" s="1" t="s">
        <v>413</v>
      </c>
      <c r="C45" s="1" t="n">
        <v>336</v>
      </c>
      <c r="D45" s="35" t="n">
        <f aca="false">IFERROR(INDEX('Duration Factors'!$C$4:$C$12,MATCH($B45,'Duration Factors'!$A$4:$A$12,0)),"")</f>
        <v>14</v>
      </c>
      <c r="E45" s="35" t="n">
        <f aca="false">IFERROR(INDEX('Duration Factors'!$D$4:$D$12,MATCH($B45,'Duration Factors'!$A$4:$A$12,0)),"")</f>
        <v>1.1</v>
      </c>
      <c r="F45" s="1" t="s">
        <v>234</v>
      </c>
      <c r="G45" s="1" t="n">
        <f aca="false">'Target Inputs'!G8</f>
        <v>0</v>
      </c>
      <c r="H45" s="1" t="n">
        <f aca="false">'Target Inputs'!H8</f>
        <v>1</v>
      </c>
      <c r="I45" s="18" t="n">
        <f aca="false">'Target Inputs'!I8</f>
        <v>0.02</v>
      </c>
      <c r="J45" s="19" t="n">
        <f aca="false">'Target Inputs'!J8</f>
        <v>2000000</v>
      </c>
      <c r="K45" s="19" t="n">
        <f aca="false">'Target Inputs'!K8</f>
        <v>2000000</v>
      </c>
      <c r="L45" s="19" t="n">
        <f aca="false">G45*'VSL and Injuries'!$B$4+H45*'VSL and Injuries'!$B$4*I45+J45*'VSL and Injuries'!$K$6</f>
        <v>2354000</v>
      </c>
      <c r="M45" s="19" t="n">
        <f aca="false">K45*'VSL and Injuries'!$K$6*$AG45*E45</f>
        <v>38709000</v>
      </c>
      <c r="N45" s="19" t="n">
        <f aca="false">L45+M45</f>
        <v>41063000</v>
      </c>
      <c r="O45" s="1" t="n">
        <f aca="false">'Target Inputs'!L8</f>
        <v>1</v>
      </c>
      <c r="P45" s="1" t="n">
        <f aca="false">'Target Inputs'!M8</f>
        <v>8</v>
      </c>
      <c r="Q45" s="18" t="n">
        <f aca="false">'Target Inputs'!N8</f>
        <v>0.05</v>
      </c>
      <c r="R45" s="19" t="n">
        <f aca="false">'Target Inputs'!O8</f>
        <v>20000000</v>
      </c>
      <c r="S45" s="19" t="n">
        <f aca="false">'Target Inputs'!P8</f>
        <v>15000000</v>
      </c>
      <c r="T45" s="19" t="n">
        <f aca="false">O45*'VSL and Injuries'!$B$4+P45*'VSL and Injuries'!$B$4*Q45+R45*'VSL and Injuries'!$K$6</f>
        <v>40580000</v>
      </c>
      <c r="U45" s="19" t="n">
        <f aca="false">S45*'VSL and Injuries'!$K$6*$AG45*E45</f>
        <v>290317500</v>
      </c>
      <c r="V45" s="19" t="n">
        <f aca="false">T45+U45</f>
        <v>330897500</v>
      </c>
      <c r="W45" s="1" t="n">
        <f aca="false">'Target Inputs'!Q8</f>
        <v>10</v>
      </c>
      <c r="X45" s="1" t="n">
        <f aca="false">'Target Inputs'!R8</f>
        <v>50</v>
      </c>
      <c r="Y45" s="18" t="n">
        <f aca="false">'Target Inputs'!S8</f>
        <v>0.12</v>
      </c>
      <c r="Z45" s="19" t="n">
        <f aca="false">'Target Inputs'!T8</f>
        <v>150000000</v>
      </c>
      <c r="AA45" s="19" t="n">
        <f aca="false">'Target Inputs'!U8</f>
        <v>75000000</v>
      </c>
      <c r="AB45" s="19" t="n">
        <f aca="false">W45*'VSL and Injuries'!$B$4+X45*'VSL and Injuries'!$B$4*Y45+Z45*'VSL and Injuries'!$K$6</f>
        <v>382450000</v>
      </c>
      <c r="AC45" s="19" t="n">
        <f aca="false">AA45*'VSL and Injuries'!$K$6*$AG45*E45</f>
        <v>1451587500</v>
      </c>
      <c r="AD45" s="19" t="n">
        <f aca="false">AB45+AC45</f>
        <v>1834037500</v>
      </c>
      <c r="AE45" s="1" t="s">
        <v>392</v>
      </c>
      <c r="AF45" s="1" t="s">
        <v>393</v>
      </c>
      <c r="AG45" s="35" t="n">
        <f aca="false">IFERROR(INDEX('Duration Factors'!$G$4:$G$12,MATCH($B45,'Duration Factors'!$A$4:$A$12,0)),"")</f>
        <v>17</v>
      </c>
    </row>
    <row r="46" customFormat="false" ht="15" hidden="false" customHeight="true" outlineLevel="0" collapsed="false">
      <c r="A46" s="1" t="s">
        <v>390</v>
      </c>
      <c r="B46" s="1" t="s">
        <v>415</v>
      </c>
      <c r="C46" s="1" t="n">
        <v>720</v>
      </c>
      <c r="D46" s="35" t="n">
        <f aca="false">IFERROR(INDEX('Duration Factors'!$C$4:$C$12,MATCH($B46,'Duration Factors'!$A$4:$A$12,0)),"")</f>
        <v>30</v>
      </c>
      <c r="E46" s="35" t="n">
        <f aca="false">IFERROR(INDEX('Duration Factors'!$D$4:$D$12,MATCH($B46,'Duration Factors'!$A$4:$A$12,0)),"")</f>
        <v>1.2</v>
      </c>
      <c r="F46" s="1" t="s">
        <v>234</v>
      </c>
      <c r="G46" s="1" t="n">
        <f aca="false">'Target Inputs'!G8</f>
        <v>0</v>
      </c>
      <c r="H46" s="1" t="n">
        <f aca="false">'Target Inputs'!H8</f>
        <v>1</v>
      </c>
      <c r="I46" s="18" t="n">
        <f aca="false">'Target Inputs'!I8</f>
        <v>0.02</v>
      </c>
      <c r="J46" s="19" t="n">
        <f aca="false">'Target Inputs'!J8</f>
        <v>2000000</v>
      </c>
      <c r="K46" s="19" t="n">
        <f aca="false">'Target Inputs'!K8</f>
        <v>2000000</v>
      </c>
      <c r="L46" s="19" t="n">
        <f aca="false">G46*'VSL and Injuries'!$B$4+H46*'VSL and Injuries'!$B$4*I46+J46*'VSL and Injuries'!$K$6</f>
        <v>2354000</v>
      </c>
      <c r="M46" s="19" t="n">
        <f aca="false">K46*'VSL and Injuries'!$K$6*$AG46*E46</f>
        <v>86940000</v>
      </c>
      <c r="N46" s="19" t="n">
        <f aca="false">L46+M46</f>
        <v>89294000</v>
      </c>
      <c r="O46" s="1" t="n">
        <f aca="false">'Target Inputs'!L8</f>
        <v>1</v>
      </c>
      <c r="P46" s="1" t="n">
        <f aca="false">'Target Inputs'!M8</f>
        <v>8</v>
      </c>
      <c r="Q46" s="18" t="n">
        <f aca="false">'Target Inputs'!N8</f>
        <v>0.05</v>
      </c>
      <c r="R46" s="19" t="n">
        <f aca="false">'Target Inputs'!O8</f>
        <v>20000000</v>
      </c>
      <c r="S46" s="19" t="n">
        <f aca="false">'Target Inputs'!P8</f>
        <v>15000000</v>
      </c>
      <c r="T46" s="19" t="n">
        <f aca="false">O46*'VSL and Injuries'!$B$4+P46*'VSL and Injuries'!$B$4*Q46+R46*'VSL and Injuries'!$K$6</f>
        <v>40580000</v>
      </c>
      <c r="U46" s="19" t="n">
        <f aca="false">S46*'VSL and Injuries'!$K$6*$AG46*E46</f>
        <v>652050000</v>
      </c>
      <c r="V46" s="19" t="n">
        <f aca="false">T46+U46</f>
        <v>692630000</v>
      </c>
      <c r="W46" s="1" t="n">
        <f aca="false">'Target Inputs'!Q8</f>
        <v>10</v>
      </c>
      <c r="X46" s="1" t="n">
        <f aca="false">'Target Inputs'!R8</f>
        <v>50</v>
      </c>
      <c r="Y46" s="18" t="n">
        <f aca="false">'Target Inputs'!S8</f>
        <v>0.12</v>
      </c>
      <c r="Z46" s="19" t="n">
        <f aca="false">'Target Inputs'!T8</f>
        <v>150000000</v>
      </c>
      <c r="AA46" s="19" t="n">
        <f aca="false">'Target Inputs'!U8</f>
        <v>75000000</v>
      </c>
      <c r="AB46" s="19" t="n">
        <f aca="false">W46*'VSL and Injuries'!$B$4+X46*'VSL and Injuries'!$B$4*Y46+Z46*'VSL and Injuries'!$K$6</f>
        <v>382450000</v>
      </c>
      <c r="AC46" s="19" t="n">
        <f aca="false">AA46*'VSL and Injuries'!$K$6*$AG46*E46</f>
        <v>3260250000</v>
      </c>
      <c r="AD46" s="19" t="n">
        <f aca="false">AB46+AC46</f>
        <v>3642700000</v>
      </c>
      <c r="AE46" s="1" t="s">
        <v>392</v>
      </c>
      <c r="AF46" s="1" t="s">
        <v>393</v>
      </c>
      <c r="AG46" s="35" t="n">
        <f aca="false">IFERROR(INDEX('Duration Factors'!$G$4:$G$12,MATCH($B46,'Duration Factors'!$A$4:$A$12,0)),"")</f>
        <v>35</v>
      </c>
    </row>
    <row r="47" customFormat="false" ht="15" hidden="false" customHeight="true" outlineLevel="0" collapsed="false">
      <c r="A47" s="1" t="s">
        <v>390</v>
      </c>
      <c r="B47" s="1" t="s">
        <v>417</v>
      </c>
      <c r="C47" s="1" t="n">
        <v>1080</v>
      </c>
      <c r="D47" s="35" t="n">
        <f aca="false">IFERROR(INDEX('Duration Factors'!$C$4:$C$12,MATCH($B47,'Duration Factors'!$A$4:$A$12,0)),"")</f>
        <v>45</v>
      </c>
      <c r="E47" s="35" t="n">
        <f aca="false">IFERROR(INDEX('Duration Factors'!$D$4:$D$12,MATCH($B47,'Duration Factors'!$A$4:$A$12,0)),"")</f>
        <v>1.3</v>
      </c>
      <c r="F47" s="1" t="s">
        <v>234</v>
      </c>
      <c r="G47" s="1" t="n">
        <f aca="false">'Target Inputs'!G8</f>
        <v>0</v>
      </c>
      <c r="H47" s="1" t="n">
        <f aca="false">'Target Inputs'!H8</f>
        <v>1</v>
      </c>
      <c r="I47" s="18" t="n">
        <f aca="false">'Target Inputs'!I8</f>
        <v>0.02</v>
      </c>
      <c r="J47" s="19" t="n">
        <f aca="false">'Target Inputs'!J8</f>
        <v>2000000</v>
      </c>
      <c r="K47" s="19" t="n">
        <f aca="false">'Target Inputs'!K8</f>
        <v>2000000</v>
      </c>
      <c r="L47" s="19" t="n">
        <f aca="false">G47*'VSL and Injuries'!$B$4+H47*'VSL and Injuries'!$B$4*I47+J47*'VSL and Injuries'!$K$6</f>
        <v>2354000</v>
      </c>
      <c r="M47" s="19" t="n">
        <f aca="false">K47*'VSL and Injuries'!$K$6*$AG47*E47</f>
        <v>148005000</v>
      </c>
      <c r="N47" s="19" t="n">
        <f aca="false">L47+M47</f>
        <v>150359000</v>
      </c>
      <c r="O47" s="1" t="n">
        <f aca="false">'Target Inputs'!L8</f>
        <v>1</v>
      </c>
      <c r="P47" s="1" t="n">
        <f aca="false">'Target Inputs'!M8</f>
        <v>8</v>
      </c>
      <c r="Q47" s="18" t="n">
        <f aca="false">'Target Inputs'!N8</f>
        <v>0.05</v>
      </c>
      <c r="R47" s="19" t="n">
        <f aca="false">'Target Inputs'!O8</f>
        <v>20000000</v>
      </c>
      <c r="S47" s="19" t="n">
        <f aca="false">'Target Inputs'!P8</f>
        <v>15000000</v>
      </c>
      <c r="T47" s="19" t="n">
        <f aca="false">O47*'VSL and Injuries'!$B$4+P47*'VSL and Injuries'!$B$4*Q47+R47*'VSL and Injuries'!$K$6</f>
        <v>40580000</v>
      </c>
      <c r="U47" s="19" t="n">
        <f aca="false">S47*'VSL and Injuries'!$K$6*$AG47*E47</f>
        <v>1110037500</v>
      </c>
      <c r="V47" s="19" t="n">
        <f aca="false">T47+U47</f>
        <v>1150617500</v>
      </c>
      <c r="W47" s="1" t="n">
        <f aca="false">'Target Inputs'!Q8</f>
        <v>10</v>
      </c>
      <c r="X47" s="1" t="n">
        <f aca="false">'Target Inputs'!R8</f>
        <v>50</v>
      </c>
      <c r="Y47" s="18" t="n">
        <f aca="false">'Target Inputs'!S8</f>
        <v>0.12</v>
      </c>
      <c r="Z47" s="19" t="n">
        <f aca="false">'Target Inputs'!T8</f>
        <v>150000000</v>
      </c>
      <c r="AA47" s="19" t="n">
        <f aca="false">'Target Inputs'!U8</f>
        <v>75000000</v>
      </c>
      <c r="AB47" s="19" t="n">
        <f aca="false">W47*'VSL and Injuries'!$B$4+X47*'VSL and Injuries'!$B$4*Y47+Z47*'VSL and Injuries'!$K$6</f>
        <v>382450000</v>
      </c>
      <c r="AC47" s="19" t="n">
        <f aca="false">AA47*'VSL and Injuries'!$K$6*$AG47*E47</f>
        <v>5550187500</v>
      </c>
      <c r="AD47" s="19" t="n">
        <f aca="false">AB47+AC47</f>
        <v>5932637500</v>
      </c>
      <c r="AE47" s="1" t="s">
        <v>392</v>
      </c>
      <c r="AF47" s="1" t="s">
        <v>393</v>
      </c>
      <c r="AG47" s="35" t="n">
        <f aca="false">IFERROR(INDEX('Duration Factors'!$G$4:$G$12,MATCH($B47,'Duration Factors'!$A$4:$A$12,0)),"")</f>
        <v>55</v>
      </c>
    </row>
    <row r="48" customFormat="false" ht="15" hidden="false" customHeight="true" outlineLevel="0" collapsed="false">
      <c r="A48" s="1" t="s">
        <v>390</v>
      </c>
      <c r="B48" s="1" t="s">
        <v>419</v>
      </c>
      <c r="C48" s="1" t="n">
        <v>2160</v>
      </c>
      <c r="D48" s="35" t="n">
        <f aca="false">IFERROR(INDEX('Duration Factors'!$C$4:$C$12,MATCH($B48,'Duration Factors'!$A$4:$A$12,0)),"")</f>
        <v>90</v>
      </c>
      <c r="E48" s="35" t="n">
        <f aca="false">IFERROR(INDEX('Duration Factors'!$D$4:$D$12,MATCH($B48,'Duration Factors'!$A$4:$A$12,0)),"")</f>
        <v>1.4</v>
      </c>
      <c r="F48" s="1" t="s">
        <v>234</v>
      </c>
      <c r="G48" s="1" t="n">
        <f aca="false">'Target Inputs'!G8</f>
        <v>0</v>
      </c>
      <c r="H48" s="1" t="n">
        <f aca="false">'Target Inputs'!H8</f>
        <v>1</v>
      </c>
      <c r="I48" s="18" t="n">
        <f aca="false">'Target Inputs'!I8</f>
        <v>0.02</v>
      </c>
      <c r="J48" s="19" t="n">
        <f aca="false">'Target Inputs'!J8</f>
        <v>2000000</v>
      </c>
      <c r="K48" s="19" t="n">
        <f aca="false">'Target Inputs'!K8</f>
        <v>2000000</v>
      </c>
      <c r="L48" s="19" t="n">
        <f aca="false">G48*'VSL and Injuries'!$B$4+H48*'VSL and Injuries'!$B$4*I48+J48*'VSL and Injuries'!$K$6</f>
        <v>2354000</v>
      </c>
      <c r="M48" s="19" t="n">
        <f aca="false">K48*'VSL and Injuries'!$K$6*$AG48*E48</f>
        <v>318780000</v>
      </c>
      <c r="N48" s="19" t="n">
        <f aca="false">L48+M48</f>
        <v>321134000</v>
      </c>
      <c r="O48" s="1" t="n">
        <f aca="false">'Target Inputs'!L8</f>
        <v>1</v>
      </c>
      <c r="P48" s="1" t="n">
        <f aca="false">'Target Inputs'!M8</f>
        <v>8</v>
      </c>
      <c r="Q48" s="18" t="n">
        <f aca="false">'Target Inputs'!N8</f>
        <v>0.05</v>
      </c>
      <c r="R48" s="19" t="n">
        <f aca="false">'Target Inputs'!O8</f>
        <v>20000000</v>
      </c>
      <c r="S48" s="19" t="n">
        <f aca="false">'Target Inputs'!P8</f>
        <v>15000000</v>
      </c>
      <c r="T48" s="19" t="n">
        <f aca="false">O48*'VSL and Injuries'!$B$4+P48*'VSL and Injuries'!$B$4*Q48+R48*'VSL and Injuries'!$K$6</f>
        <v>40580000</v>
      </c>
      <c r="U48" s="19" t="n">
        <f aca="false">S48*'VSL and Injuries'!$K$6*$AG48*E48</f>
        <v>2390850000</v>
      </c>
      <c r="V48" s="19" t="n">
        <f aca="false">T48+U48</f>
        <v>2431430000</v>
      </c>
      <c r="W48" s="1" t="n">
        <f aca="false">'Target Inputs'!Q8</f>
        <v>10</v>
      </c>
      <c r="X48" s="1" t="n">
        <f aca="false">'Target Inputs'!R8</f>
        <v>50</v>
      </c>
      <c r="Y48" s="18" t="n">
        <f aca="false">'Target Inputs'!S8</f>
        <v>0.12</v>
      </c>
      <c r="Z48" s="19" t="n">
        <f aca="false">'Target Inputs'!T8</f>
        <v>150000000</v>
      </c>
      <c r="AA48" s="19" t="n">
        <f aca="false">'Target Inputs'!U8</f>
        <v>75000000</v>
      </c>
      <c r="AB48" s="19" t="n">
        <f aca="false">W48*'VSL and Injuries'!$B$4+X48*'VSL and Injuries'!$B$4*Y48+Z48*'VSL and Injuries'!$K$6</f>
        <v>382450000</v>
      </c>
      <c r="AC48" s="19" t="n">
        <f aca="false">AA48*'VSL and Injuries'!$K$6*$AG48*E48</f>
        <v>11954250000</v>
      </c>
      <c r="AD48" s="19" t="n">
        <f aca="false">AB48+AC48</f>
        <v>12336700000</v>
      </c>
      <c r="AE48" s="1" t="s">
        <v>392</v>
      </c>
      <c r="AF48" s="1" t="s">
        <v>393</v>
      </c>
      <c r="AG48" s="35" t="n">
        <f aca="false">IFERROR(INDEX('Duration Factors'!$G$4:$G$12,MATCH($B48,'Duration Factors'!$A$4:$A$12,0)),"")</f>
        <v>110</v>
      </c>
    </row>
  </sheetData>
  <mergeCells count="1">
    <mergeCell ref="A1:AF1"/>
  </mergeCells>
  <conditionalFormatting sqref="V4:V38">
    <cfRule type="dataBar" priority="2">
      <dataBar showValue="1" minLength="10" maxLength="90">
        <cfvo type="min" val="0"/>
        <cfvo type="max" val="0"/>
        <color rgb="FF2F75B5"/>
      </dataBar>
      <extLst>
        <ext xmlns:x14="http://schemas.microsoft.com/office/spreadsheetml/2009/9/main" uri="{B025F937-C7B1-47D3-B67F-A62EFF666E3E}">
          <x14:id>{E06913CF-47DB-4E73-819C-D0CD1A83F170}</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E06913CF-47DB-4E73-819C-D0CD1A83F170}">
            <x14:dataBar minLength="10" maxLength="90" axisPosition="none" gradient="true">
              <x14:cfvo type="min"/>
              <x14:cfvo type="max"/>
              <x14:negativeFillColor rgb="FF2F75B5"/>
              <x14:axisColor rgb="FF000000"/>
            </x14:dataBar>
          </x14:cfRule>
          <xm:sqref>V4:V38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18"/>
    <col collapsed="false" customWidth="true" hidden="false" outlineLevel="0" max="4" min="4" style="1" width="55"/>
    <col collapsed="false" customWidth="true" hidden="false" outlineLevel="0" max="5" min="5" style="1" width="22"/>
    <col collapsed="false" customWidth="true" hidden="false" outlineLevel="0" max="6" min="6" style="1" width="28"/>
    <col collapsed="false" customWidth="true" hidden="false" outlineLevel="0" max="7" min="7" style="1" width="55"/>
  </cols>
  <sheetData>
    <row r="1" customFormat="false" ht="27.75" hidden="false" customHeight="true" outlineLevel="0" collapsed="false">
      <c r="A1" s="36" t="s">
        <v>443</v>
      </c>
      <c r="B1" s="36"/>
      <c r="C1" s="36"/>
      <c r="D1" s="36"/>
      <c r="E1" s="36"/>
      <c r="F1" s="36"/>
      <c r="G1" s="36"/>
      <c r="H1" s="36"/>
      <c r="I1" s="36"/>
      <c r="J1" s="36"/>
    </row>
    <row r="3" customFormat="false" ht="27.75" hidden="false" customHeight="true" outlineLevel="0" collapsed="false">
      <c r="A3" s="8" t="s">
        <v>356</v>
      </c>
      <c r="B3" s="8" t="s">
        <v>444</v>
      </c>
      <c r="C3" s="8" t="s">
        <v>445</v>
      </c>
      <c r="D3" s="8" t="s">
        <v>446</v>
      </c>
      <c r="E3" s="8" t="s">
        <v>447</v>
      </c>
      <c r="F3" s="8" t="s">
        <v>206</v>
      </c>
      <c r="G3" s="8" t="s">
        <v>448</v>
      </c>
      <c r="I3" s="8" t="s">
        <v>356</v>
      </c>
      <c r="J3" s="8" t="s">
        <v>449</v>
      </c>
      <c r="L3" s="6" t="s">
        <v>450</v>
      </c>
    </row>
    <row r="4" customFormat="false" ht="350.25" hidden="false" customHeight="true" outlineLevel="0" collapsed="false">
      <c r="A4" s="4" t="s">
        <v>376</v>
      </c>
      <c r="B4" s="4" t="s">
        <v>451</v>
      </c>
      <c r="C4" s="37" t="n">
        <v>0.1</v>
      </c>
      <c r="D4" s="4" t="s">
        <v>452</v>
      </c>
      <c r="E4" s="4" t="s">
        <v>453</v>
      </c>
      <c r="F4" s="4" t="s">
        <v>454</v>
      </c>
      <c r="G4" s="4" t="s">
        <v>455</v>
      </c>
      <c r="I4" s="1" t="s">
        <v>376</v>
      </c>
      <c r="J4" s="38" t="n">
        <f aca="false">SUM(C4:C19)</f>
        <v>1</v>
      </c>
      <c r="L4" s="14" t="s">
        <v>456</v>
      </c>
    </row>
    <row r="5" customFormat="false" ht="283.5" hidden="false" customHeight="true" outlineLevel="0" collapsed="false">
      <c r="A5" s="4" t="s">
        <v>376</v>
      </c>
      <c r="B5" s="4" t="s">
        <v>457</v>
      </c>
      <c r="C5" s="37" t="n">
        <v>0.05</v>
      </c>
      <c r="D5" s="4" t="s">
        <v>458</v>
      </c>
      <c r="E5" s="4" t="s">
        <v>453</v>
      </c>
      <c r="F5" s="4" t="s">
        <v>454</v>
      </c>
      <c r="G5" s="4" t="s">
        <v>455</v>
      </c>
      <c r="I5" s="1" t="s">
        <v>380</v>
      </c>
      <c r="J5" s="38" t="n">
        <f aca="false">SUM(C20:C35)</f>
        <v>1</v>
      </c>
      <c r="L5" s="14" t="s">
        <v>459</v>
      </c>
    </row>
    <row r="6" customFormat="false" ht="431.25" hidden="false" customHeight="true" outlineLevel="0" collapsed="false">
      <c r="A6" s="4" t="s">
        <v>376</v>
      </c>
      <c r="B6" s="4" t="s">
        <v>460</v>
      </c>
      <c r="C6" s="37" t="n">
        <v>0.02</v>
      </c>
      <c r="D6" s="4" t="s">
        <v>461</v>
      </c>
      <c r="E6" s="4" t="s">
        <v>453</v>
      </c>
      <c r="F6" s="4" t="s">
        <v>454</v>
      </c>
      <c r="G6" s="4" t="s">
        <v>455</v>
      </c>
      <c r="I6" s="1" t="s">
        <v>384</v>
      </c>
      <c r="J6" s="38" t="n">
        <f aca="false">SUM(C36:C51)</f>
        <v>1</v>
      </c>
      <c r="L6" s="14" t="s">
        <v>462</v>
      </c>
    </row>
    <row r="7" customFormat="false" ht="189" hidden="false" customHeight="true" outlineLevel="0" collapsed="false">
      <c r="A7" s="4" t="s">
        <v>376</v>
      </c>
      <c r="B7" s="4" t="s">
        <v>463</v>
      </c>
      <c r="C7" s="37" t="n">
        <v>0.1</v>
      </c>
      <c r="D7" s="4" t="s">
        <v>464</v>
      </c>
      <c r="E7" s="4" t="s">
        <v>453</v>
      </c>
      <c r="F7" s="4" t="s">
        <v>454</v>
      </c>
      <c r="G7" s="4" t="s">
        <v>455</v>
      </c>
      <c r="I7" s="1" t="s">
        <v>387</v>
      </c>
      <c r="J7" s="38" t="n">
        <f aca="false">SUM(C52:C67)</f>
        <v>1</v>
      </c>
      <c r="L7" s="14" t="s">
        <v>465</v>
      </c>
    </row>
    <row r="8" customFormat="false" ht="27.75" hidden="false" customHeight="true" outlineLevel="0" collapsed="false">
      <c r="A8" s="4" t="s">
        <v>376</v>
      </c>
      <c r="B8" s="4" t="s">
        <v>466</v>
      </c>
      <c r="C8" s="37" t="n">
        <v>0.01</v>
      </c>
      <c r="D8" s="4" t="s">
        <v>467</v>
      </c>
      <c r="E8" s="4" t="s">
        <v>453</v>
      </c>
      <c r="F8" s="4" t="s">
        <v>454</v>
      </c>
      <c r="G8" s="4" t="s">
        <v>455</v>
      </c>
      <c r="I8" s="1" t="s">
        <v>390</v>
      </c>
      <c r="J8" s="38" t="n">
        <f aca="false">SUM(C68:C83)</f>
        <v>1</v>
      </c>
    </row>
    <row r="9" customFormat="false" ht="27.75" hidden="false" customHeight="true" outlineLevel="0" collapsed="false">
      <c r="A9" s="4" t="s">
        <v>376</v>
      </c>
      <c r="B9" s="4" t="s">
        <v>468</v>
      </c>
      <c r="C9" s="37" t="n">
        <v>0.07</v>
      </c>
      <c r="D9" s="4" t="s">
        <v>469</v>
      </c>
      <c r="E9" s="4" t="s">
        <v>453</v>
      </c>
      <c r="F9" s="4" t="s">
        <v>454</v>
      </c>
      <c r="G9" s="4" t="s">
        <v>455</v>
      </c>
    </row>
    <row r="10" customFormat="false" ht="27.75" hidden="false" customHeight="true" outlineLevel="0" collapsed="false">
      <c r="A10" s="4" t="s">
        <v>376</v>
      </c>
      <c r="B10" s="4" t="s">
        <v>470</v>
      </c>
      <c r="C10" s="37" t="n">
        <v>0.02</v>
      </c>
      <c r="D10" s="4" t="s">
        <v>471</v>
      </c>
      <c r="E10" s="4" t="s">
        <v>453</v>
      </c>
      <c r="F10" s="4" t="s">
        <v>454</v>
      </c>
      <c r="G10" s="4" t="s">
        <v>455</v>
      </c>
    </row>
    <row r="11" customFormat="false" ht="27.75" hidden="false" customHeight="true" outlineLevel="0" collapsed="false">
      <c r="A11" s="4" t="s">
        <v>376</v>
      </c>
      <c r="B11" s="4" t="s">
        <v>472</v>
      </c>
      <c r="C11" s="37" t="n">
        <v>0.35</v>
      </c>
      <c r="D11" s="4" t="s">
        <v>473</v>
      </c>
      <c r="E11" s="4" t="s">
        <v>453</v>
      </c>
      <c r="F11" s="4" t="s">
        <v>454</v>
      </c>
      <c r="G11" s="4" t="s">
        <v>455</v>
      </c>
    </row>
    <row r="12" customFormat="false" ht="27.75" hidden="false" customHeight="true" outlineLevel="0" collapsed="false">
      <c r="A12" s="4" t="s">
        <v>376</v>
      </c>
      <c r="B12" s="4" t="s">
        <v>474</v>
      </c>
      <c r="C12" s="37" t="n">
        <v>0.02</v>
      </c>
      <c r="D12" s="4" t="s">
        <v>475</v>
      </c>
      <c r="E12" s="4" t="s">
        <v>453</v>
      </c>
      <c r="F12" s="4" t="s">
        <v>454</v>
      </c>
      <c r="G12" s="4" t="s">
        <v>455</v>
      </c>
    </row>
    <row r="13" customFormat="false" ht="27.75" hidden="false" customHeight="true" outlineLevel="0" collapsed="false">
      <c r="A13" s="4" t="s">
        <v>376</v>
      </c>
      <c r="B13" s="4" t="s">
        <v>476</v>
      </c>
      <c r="C13" s="37" t="n">
        <v>0.05</v>
      </c>
      <c r="D13" s="4" t="s">
        <v>477</v>
      </c>
      <c r="E13" s="4" t="s">
        <v>453</v>
      </c>
      <c r="F13" s="4" t="s">
        <v>454</v>
      </c>
      <c r="G13" s="4" t="s">
        <v>455</v>
      </c>
    </row>
    <row r="14" customFormat="false" ht="27.75" hidden="false" customHeight="true" outlineLevel="0" collapsed="false">
      <c r="A14" s="4" t="s">
        <v>376</v>
      </c>
      <c r="B14" s="4" t="s">
        <v>478</v>
      </c>
      <c r="C14" s="37" t="n">
        <v>0.03</v>
      </c>
      <c r="D14" s="4" t="s">
        <v>479</v>
      </c>
      <c r="E14" s="4" t="s">
        <v>453</v>
      </c>
      <c r="F14" s="4" t="s">
        <v>454</v>
      </c>
      <c r="G14" s="4" t="s">
        <v>455</v>
      </c>
    </row>
    <row r="15" customFormat="false" ht="27.75" hidden="false" customHeight="true" outlineLevel="0" collapsed="false">
      <c r="A15" s="4" t="s">
        <v>376</v>
      </c>
      <c r="B15" s="4" t="s">
        <v>480</v>
      </c>
      <c r="C15" s="37" t="n">
        <v>0.02</v>
      </c>
      <c r="D15" s="4" t="s">
        <v>481</v>
      </c>
      <c r="E15" s="4" t="s">
        <v>453</v>
      </c>
      <c r="F15" s="4" t="s">
        <v>454</v>
      </c>
      <c r="G15" s="4" t="s">
        <v>455</v>
      </c>
    </row>
    <row r="16" customFormat="false" ht="27.75" hidden="false" customHeight="true" outlineLevel="0" collapsed="false">
      <c r="A16" s="4" t="s">
        <v>376</v>
      </c>
      <c r="B16" s="4" t="s">
        <v>482</v>
      </c>
      <c r="C16" s="37" t="n">
        <v>0.02</v>
      </c>
      <c r="D16" s="4" t="s">
        <v>483</v>
      </c>
      <c r="E16" s="4" t="s">
        <v>453</v>
      </c>
      <c r="F16" s="4" t="s">
        <v>454</v>
      </c>
      <c r="G16" s="4" t="s">
        <v>455</v>
      </c>
    </row>
    <row r="17" customFormat="false" ht="27.75" hidden="false" customHeight="true" outlineLevel="0" collapsed="false">
      <c r="A17" s="4" t="s">
        <v>376</v>
      </c>
      <c r="B17" s="4" t="s">
        <v>484</v>
      </c>
      <c r="C17" s="37" t="n">
        <v>0.01</v>
      </c>
      <c r="D17" s="4" t="s">
        <v>485</v>
      </c>
      <c r="E17" s="4" t="s">
        <v>453</v>
      </c>
      <c r="F17" s="4" t="s">
        <v>454</v>
      </c>
      <c r="G17" s="4" t="s">
        <v>455</v>
      </c>
    </row>
    <row r="18" customFormat="false" ht="27.75" hidden="false" customHeight="true" outlineLevel="0" collapsed="false">
      <c r="A18" s="4" t="s">
        <v>376</v>
      </c>
      <c r="B18" s="4" t="s">
        <v>486</v>
      </c>
      <c r="C18" s="37" t="n">
        <v>0.1</v>
      </c>
      <c r="D18" s="4" t="s">
        <v>487</v>
      </c>
      <c r="E18" s="4" t="s">
        <v>453</v>
      </c>
      <c r="F18" s="4" t="s">
        <v>454</v>
      </c>
      <c r="G18" s="4" t="s">
        <v>455</v>
      </c>
    </row>
    <row r="19" customFormat="false" ht="27.75" hidden="false" customHeight="true" outlineLevel="0" collapsed="false">
      <c r="A19" s="4" t="s">
        <v>376</v>
      </c>
      <c r="B19" s="4" t="s">
        <v>488</v>
      </c>
      <c r="C19" s="37" t="n">
        <v>0.03</v>
      </c>
      <c r="D19" s="4" t="s">
        <v>489</v>
      </c>
      <c r="E19" s="4" t="s">
        <v>453</v>
      </c>
      <c r="F19" s="4" t="s">
        <v>454</v>
      </c>
      <c r="G19" s="4" t="s">
        <v>455</v>
      </c>
    </row>
    <row r="20" customFormat="false" ht="27.75" hidden="false" customHeight="true" outlineLevel="0" collapsed="false">
      <c r="A20" s="4" t="s">
        <v>380</v>
      </c>
      <c r="B20" s="4" t="s">
        <v>451</v>
      </c>
      <c r="C20" s="37" t="n">
        <v>0.09</v>
      </c>
      <c r="D20" s="4" t="s">
        <v>452</v>
      </c>
      <c r="E20" s="4" t="s">
        <v>453</v>
      </c>
      <c r="F20" s="4" t="s">
        <v>490</v>
      </c>
      <c r="G20" s="4" t="s">
        <v>455</v>
      </c>
    </row>
    <row r="21" customFormat="false" ht="27.75" hidden="false" customHeight="true" outlineLevel="0" collapsed="false">
      <c r="A21" s="4" t="s">
        <v>380</v>
      </c>
      <c r="B21" s="4" t="s">
        <v>457</v>
      </c>
      <c r="C21" s="37" t="n">
        <v>0.05</v>
      </c>
      <c r="D21" s="4" t="s">
        <v>458</v>
      </c>
      <c r="E21" s="4" t="s">
        <v>453</v>
      </c>
      <c r="F21" s="4" t="s">
        <v>490</v>
      </c>
      <c r="G21" s="4" t="s">
        <v>455</v>
      </c>
    </row>
    <row r="22" customFormat="false" ht="27.75" hidden="false" customHeight="true" outlineLevel="0" collapsed="false">
      <c r="A22" s="4" t="s">
        <v>380</v>
      </c>
      <c r="B22" s="4" t="s">
        <v>460</v>
      </c>
      <c r="C22" s="37" t="n">
        <v>0.02</v>
      </c>
      <c r="D22" s="4" t="s">
        <v>461</v>
      </c>
      <c r="E22" s="4" t="s">
        <v>453</v>
      </c>
      <c r="F22" s="4" t="s">
        <v>490</v>
      </c>
      <c r="G22" s="4" t="s">
        <v>455</v>
      </c>
    </row>
    <row r="23" customFormat="false" ht="27.75" hidden="false" customHeight="true" outlineLevel="0" collapsed="false">
      <c r="A23" s="4" t="s">
        <v>380</v>
      </c>
      <c r="B23" s="4" t="s">
        <v>463</v>
      </c>
      <c r="C23" s="37" t="n">
        <v>0.1</v>
      </c>
      <c r="D23" s="4" t="s">
        <v>464</v>
      </c>
      <c r="E23" s="4" t="s">
        <v>453</v>
      </c>
      <c r="F23" s="4" t="s">
        <v>490</v>
      </c>
      <c r="G23" s="4" t="s">
        <v>455</v>
      </c>
    </row>
    <row r="24" customFormat="false" ht="27.75" hidden="false" customHeight="true" outlineLevel="0" collapsed="false">
      <c r="A24" s="4" t="s">
        <v>380</v>
      </c>
      <c r="B24" s="4" t="s">
        <v>466</v>
      </c>
      <c r="C24" s="37" t="n">
        <v>0.01</v>
      </c>
      <c r="D24" s="4" t="s">
        <v>467</v>
      </c>
      <c r="E24" s="4" t="s">
        <v>453</v>
      </c>
      <c r="F24" s="4" t="s">
        <v>490</v>
      </c>
      <c r="G24" s="4" t="s">
        <v>455</v>
      </c>
    </row>
    <row r="25" customFormat="false" ht="27.75" hidden="false" customHeight="true" outlineLevel="0" collapsed="false">
      <c r="A25" s="4" t="s">
        <v>380</v>
      </c>
      <c r="B25" s="4" t="s">
        <v>468</v>
      </c>
      <c r="C25" s="37" t="n">
        <v>0.06</v>
      </c>
      <c r="D25" s="4" t="s">
        <v>469</v>
      </c>
      <c r="E25" s="4" t="s">
        <v>453</v>
      </c>
      <c r="F25" s="4" t="s">
        <v>490</v>
      </c>
      <c r="G25" s="4" t="s">
        <v>455</v>
      </c>
    </row>
    <row r="26" customFormat="false" ht="27.75" hidden="false" customHeight="true" outlineLevel="0" collapsed="false">
      <c r="A26" s="4" t="s">
        <v>380</v>
      </c>
      <c r="B26" s="4" t="s">
        <v>470</v>
      </c>
      <c r="C26" s="37" t="n">
        <v>0.02</v>
      </c>
      <c r="D26" s="4" t="s">
        <v>471</v>
      </c>
      <c r="E26" s="4" t="s">
        <v>453</v>
      </c>
      <c r="F26" s="4" t="s">
        <v>490</v>
      </c>
      <c r="G26" s="4" t="s">
        <v>455</v>
      </c>
    </row>
    <row r="27" customFormat="false" ht="27.75" hidden="false" customHeight="true" outlineLevel="0" collapsed="false">
      <c r="A27" s="4" t="s">
        <v>380</v>
      </c>
      <c r="B27" s="4" t="s">
        <v>472</v>
      </c>
      <c r="C27" s="37" t="n">
        <v>0.36</v>
      </c>
      <c r="D27" s="4" t="s">
        <v>473</v>
      </c>
      <c r="E27" s="4" t="s">
        <v>453</v>
      </c>
      <c r="F27" s="4" t="s">
        <v>490</v>
      </c>
      <c r="G27" s="4" t="s">
        <v>455</v>
      </c>
    </row>
    <row r="28" customFormat="false" ht="27.75" hidden="false" customHeight="true" outlineLevel="0" collapsed="false">
      <c r="A28" s="4" t="s">
        <v>380</v>
      </c>
      <c r="B28" s="4" t="s">
        <v>474</v>
      </c>
      <c r="C28" s="37" t="n">
        <v>0.02</v>
      </c>
      <c r="D28" s="4" t="s">
        <v>475</v>
      </c>
      <c r="E28" s="4" t="s">
        <v>453</v>
      </c>
      <c r="F28" s="4" t="s">
        <v>490</v>
      </c>
      <c r="G28" s="4" t="s">
        <v>455</v>
      </c>
    </row>
    <row r="29" customFormat="false" ht="27.75" hidden="false" customHeight="true" outlineLevel="0" collapsed="false">
      <c r="A29" s="4" t="s">
        <v>380</v>
      </c>
      <c r="B29" s="4" t="s">
        <v>476</v>
      </c>
      <c r="C29" s="37" t="n">
        <v>0.05</v>
      </c>
      <c r="D29" s="4" t="s">
        <v>477</v>
      </c>
      <c r="E29" s="4" t="s">
        <v>453</v>
      </c>
      <c r="F29" s="4" t="s">
        <v>490</v>
      </c>
      <c r="G29" s="4" t="s">
        <v>455</v>
      </c>
    </row>
    <row r="30" customFormat="false" ht="27.75" hidden="false" customHeight="true" outlineLevel="0" collapsed="false">
      <c r="A30" s="4" t="s">
        <v>380</v>
      </c>
      <c r="B30" s="4" t="s">
        <v>478</v>
      </c>
      <c r="C30" s="37" t="n">
        <v>0.03</v>
      </c>
      <c r="D30" s="4" t="s">
        <v>479</v>
      </c>
      <c r="E30" s="4" t="s">
        <v>453</v>
      </c>
      <c r="F30" s="4" t="s">
        <v>490</v>
      </c>
      <c r="G30" s="4" t="s">
        <v>455</v>
      </c>
    </row>
    <row r="31" customFormat="false" ht="27.75" hidden="false" customHeight="true" outlineLevel="0" collapsed="false">
      <c r="A31" s="4" t="s">
        <v>380</v>
      </c>
      <c r="B31" s="4" t="s">
        <v>480</v>
      </c>
      <c r="C31" s="37" t="n">
        <v>0.02</v>
      </c>
      <c r="D31" s="4" t="s">
        <v>481</v>
      </c>
      <c r="E31" s="4" t="s">
        <v>453</v>
      </c>
      <c r="F31" s="4" t="s">
        <v>490</v>
      </c>
      <c r="G31" s="4" t="s">
        <v>455</v>
      </c>
    </row>
    <row r="32" customFormat="false" ht="27.75" hidden="false" customHeight="true" outlineLevel="0" collapsed="false">
      <c r="A32" s="4" t="s">
        <v>380</v>
      </c>
      <c r="B32" s="4" t="s">
        <v>482</v>
      </c>
      <c r="C32" s="37" t="n">
        <v>0.02</v>
      </c>
      <c r="D32" s="4" t="s">
        <v>483</v>
      </c>
      <c r="E32" s="4" t="s">
        <v>453</v>
      </c>
      <c r="F32" s="4" t="s">
        <v>490</v>
      </c>
      <c r="G32" s="4" t="s">
        <v>455</v>
      </c>
    </row>
    <row r="33" customFormat="false" ht="27.75" hidden="false" customHeight="true" outlineLevel="0" collapsed="false">
      <c r="A33" s="4" t="s">
        <v>380</v>
      </c>
      <c r="B33" s="4" t="s">
        <v>484</v>
      </c>
      <c r="C33" s="37" t="n">
        <v>0.01</v>
      </c>
      <c r="D33" s="4" t="s">
        <v>485</v>
      </c>
      <c r="E33" s="4" t="s">
        <v>453</v>
      </c>
      <c r="F33" s="4" t="s">
        <v>490</v>
      </c>
      <c r="G33" s="4" t="s">
        <v>455</v>
      </c>
    </row>
    <row r="34" customFormat="false" ht="27.75" hidden="false" customHeight="true" outlineLevel="0" collapsed="false">
      <c r="A34" s="4" t="s">
        <v>380</v>
      </c>
      <c r="B34" s="4" t="s">
        <v>486</v>
      </c>
      <c r="C34" s="37" t="n">
        <v>0.12</v>
      </c>
      <c r="D34" s="4" t="s">
        <v>487</v>
      </c>
      <c r="E34" s="4" t="s">
        <v>453</v>
      </c>
      <c r="F34" s="4" t="s">
        <v>490</v>
      </c>
      <c r="G34" s="4" t="s">
        <v>455</v>
      </c>
    </row>
    <row r="35" customFormat="false" ht="27.75" hidden="false" customHeight="true" outlineLevel="0" collapsed="false">
      <c r="A35" s="4" t="s">
        <v>380</v>
      </c>
      <c r="B35" s="4" t="s">
        <v>488</v>
      </c>
      <c r="C35" s="37" t="n">
        <v>0.02</v>
      </c>
      <c r="D35" s="4" t="s">
        <v>489</v>
      </c>
      <c r="E35" s="4" t="s">
        <v>453</v>
      </c>
      <c r="F35" s="4" t="s">
        <v>490</v>
      </c>
      <c r="G35" s="4" t="s">
        <v>455</v>
      </c>
    </row>
    <row r="36" customFormat="false" ht="27.75" hidden="false" customHeight="true" outlineLevel="0" collapsed="false">
      <c r="A36" s="4" t="s">
        <v>384</v>
      </c>
      <c r="B36" s="4" t="s">
        <v>451</v>
      </c>
      <c r="C36" s="37" t="n">
        <v>0.08</v>
      </c>
      <c r="D36" s="4" t="s">
        <v>452</v>
      </c>
      <c r="E36" s="4" t="s">
        <v>453</v>
      </c>
      <c r="F36" s="4" t="s">
        <v>490</v>
      </c>
      <c r="G36" s="4" t="s">
        <v>455</v>
      </c>
    </row>
    <row r="37" customFormat="false" ht="27.75" hidden="false" customHeight="true" outlineLevel="0" collapsed="false">
      <c r="A37" s="4" t="s">
        <v>384</v>
      </c>
      <c r="B37" s="4" t="s">
        <v>457</v>
      </c>
      <c r="C37" s="37" t="n">
        <v>0.04</v>
      </c>
      <c r="D37" s="4" t="s">
        <v>458</v>
      </c>
      <c r="E37" s="4" t="s">
        <v>453</v>
      </c>
      <c r="F37" s="4" t="s">
        <v>490</v>
      </c>
      <c r="G37" s="4" t="s">
        <v>455</v>
      </c>
    </row>
    <row r="38" customFormat="false" ht="27.75" hidden="false" customHeight="true" outlineLevel="0" collapsed="false">
      <c r="A38" s="4" t="s">
        <v>384</v>
      </c>
      <c r="B38" s="4" t="s">
        <v>460</v>
      </c>
      <c r="C38" s="37" t="n">
        <v>0.02</v>
      </c>
      <c r="D38" s="4" t="s">
        <v>461</v>
      </c>
      <c r="E38" s="4" t="s">
        <v>453</v>
      </c>
      <c r="F38" s="4" t="s">
        <v>490</v>
      </c>
      <c r="G38" s="4" t="s">
        <v>455</v>
      </c>
    </row>
    <row r="39" customFormat="false" ht="27.75" hidden="false" customHeight="true" outlineLevel="0" collapsed="false">
      <c r="A39" s="4" t="s">
        <v>384</v>
      </c>
      <c r="B39" s="4" t="s">
        <v>463</v>
      </c>
      <c r="C39" s="37" t="n">
        <v>0.09</v>
      </c>
      <c r="D39" s="4" t="s">
        <v>464</v>
      </c>
      <c r="E39" s="4" t="s">
        <v>453</v>
      </c>
      <c r="F39" s="4" t="s">
        <v>490</v>
      </c>
      <c r="G39" s="4" t="s">
        <v>455</v>
      </c>
    </row>
    <row r="40" customFormat="false" ht="27.75" hidden="false" customHeight="true" outlineLevel="0" collapsed="false">
      <c r="A40" s="4" t="s">
        <v>384</v>
      </c>
      <c r="B40" s="4" t="s">
        <v>466</v>
      </c>
      <c r="C40" s="37" t="n">
        <v>0.01</v>
      </c>
      <c r="D40" s="4" t="s">
        <v>467</v>
      </c>
      <c r="E40" s="4" t="s">
        <v>453</v>
      </c>
      <c r="F40" s="4" t="s">
        <v>490</v>
      </c>
      <c r="G40" s="4" t="s">
        <v>455</v>
      </c>
    </row>
    <row r="41" customFormat="false" ht="27.75" hidden="false" customHeight="true" outlineLevel="0" collapsed="false">
      <c r="A41" s="4" t="s">
        <v>384</v>
      </c>
      <c r="B41" s="4" t="s">
        <v>468</v>
      </c>
      <c r="C41" s="37" t="n">
        <v>0.07</v>
      </c>
      <c r="D41" s="4" t="s">
        <v>469</v>
      </c>
      <c r="E41" s="4" t="s">
        <v>453</v>
      </c>
      <c r="F41" s="4" t="s">
        <v>490</v>
      </c>
      <c r="G41" s="4" t="s">
        <v>455</v>
      </c>
    </row>
    <row r="42" customFormat="false" ht="27.75" hidden="false" customHeight="true" outlineLevel="0" collapsed="false">
      <c r="A42" s="4" t="s">
        <v>384</v>
      </c>
      <c r="B42" s="4" t="s">
        <v>470</v>
      </c>
      <c r="C42" s="37" t="n">
        <v>0.02</v>
      </c>
      <c r="D42" s="4" t="s">
        <v>471</v>
      </c>
      <c r="E42" s="4" t="s">
        <v>453</v>
      </c>
      <c r="F42" s="4" t="s">
        <v>490</v>
      </c>
      <c r="G42" s="4" t="s">
        <v>455</v>
      </c>
    </row>
    <row r="43" customFormat="false" ht="27.75" hidden="false" customHeight="true" outlineLevel="0" collapsed="false">
      <c r="A43" s="4" t="s">
        <v>384</v>
      </c>
      <c r="B43" s="4" t="s">
        <v>472</v>
      </c>
      <c r="C43" s="37" t="n">
        <v>0.38</v>
      </c>
      <c r="D43" s="4" t="s">
        <v>473</v>
      </c>
      <c r="E43" s="4" t="s">
        <v>453</v>
      </c>
      <c r="F43" s="4" t="s">
        <v>490</v>
      </c>
      <c r="G43" s="4" t="s">
        <v>455</v>
      </c>
    </row>
    <row r="44" customFormat="false" ht="27.75" hidden="false" customHeight="true" outlineLevel="0" collapsed="false">
      <c r="A44" s="4" t="s">
        <v>384</v>
      </c>
      <c r="B44" s="4" t="s">
        <v>474</v>
      </c>
      <c r="C44" s="37" t="n">
        <v>0.02</v>
      </c>
      <c r="D44" s="4" t="s">
        <v>475</v>
      </c>
      <c r="E44" s="4" t="s">
        <v>453</v>
      </c>
      <c r="F44" s="4" t="s">
        <v>490</v>
      </c>
      <c r="G44" s="4" t="s">
        <v>455</v>
      </c>
    </row>
    <row r="45" customFormat="false" ht="27.75" hidden="false" customHeight="true" outlineLevel="0" collapsed="false">
      <c r="A45" s="4" t="s">
        <v>384</v>
      </c>
      <c r="B45" s="4" t="s">
        <v>476</v>
      </c>
      <c r="C45" s="37" t="n">
        <v>0.04</v>
      </c>
      <c r="D45" s="4" t="s">
        <v>477</v>
      </c>
      <c r="E45" s="4" t="s">
        <v>453</v>
      </c>
      <c r="F45" s="4" t="s">
        <v>490</v>
      </c>
      <c r="G45" s="4" t="s">
        <v>455</v>
      </c>
    </row>
    <row r="46" customFormat="false" ht="27.75" hidden="false" customHeight="true" outlineLevel="0" collapsed="false">
      <c r="A46" s="4" t="s">
        <v>384</v>
      </c>
      <c r="B46" s="4" t="s">
        <v>478</v>
      </c>
      <c r="C46" s="37" t="n">
        <v>0.03</v>
      </c>
      <c r="D46" s="4" t="s">
        <v>479</v>
      </c>
      <c r="E46" s="4" t="s">
        <v>453</v>
      </c>
      <c r="F46" s="4" t="s">
        <v>490</v>
      </c>
      <c r="G46" s="4" t="s">
        <v>455</v>
      </c>
    </row>
    <row r="47" customFormat="false" ht="27.75" hidden="false" customHeight="true" outlineLevel="0" collapsed="false">
      <c r="A47" s="4" t="s">
        <v>384</v>
      </c>
      <c r="B47" s="4" t="s">
        <v>480</v>
      </c>
      <c r="C47" s="37" t="n">
        <v>0.02</v>
      </c>
      <c r="D47" s="4" t="s">
        <v>481</v>
      </c>
      <c r="E47" s="4" t="s">
        <v>453</v>
      </c>
      <c r="F47" s="4" t="s">
        <v>490</v>
      </c>
      <c r="G47" s="4" t="s">
        <v>455</v>
      </c>
    </row>
    <row r="48" customFormat="false" ht="27.75" hidden="false" customHeight="true" outlineLevel="0" collapsed="false">
      <c r="A48" s="4" t="s">
        <v>384</v>
      </c>
      <c r="B48" s="4" t="s">
        <v>482</v>
      </c>
      <c r="C48" s="37" t="n">
        <v>0.02</v>
      </c>
      <c r="D48" s="4" t="s">
        <v>483</v>
      </c>
      <c r="E48" s="4" t="s">
        <v>453</v>
      </c>
      <c r="F48" s="4" t="s">
        <v>490</v>
      </c>
      <c r="G48" s="4" t="s">
        <v>455</v>
      </c>
    </row>
    <row r="49" customFormat="false" ht="27.75" hidden="false" customHeight="true" outlineLevel="0" collapsed="false">
      <c r="A49" s="4" t="s">
        <v>384</v>
      </c>
      <c r="B49" s="4" t="s">
        <v>484</v>
      </c>
      <c r="C49" s="37" t="n">
        <v>0.02</v>
      </c>
      <c r="D49" s="4" t="s">
        <v>485</v>
      </c>
      <c r="E49" s="4" t="s">
        <v>453</v>
      </c>
      <c r="F49" s="4" t="s">
        <v>490</v>
      </c>
      <c r="G49" s="4" t="s">
        <v>455</v>
      </c>
    </row>
    <row r="50" customFormat="false" ht="27.75" hidden="false" customHeight="true" outlineLevel="0" collapsed="false">
      <c r="A50" s="4" t="s">
        <v>384</v>
      </c>
      <c r="B50" s="4" t="s">
        <v>486</v>
      </c>
      <c r="C50" s="37" t="n">
        <v>0.1</v>
      </c>
      <c r="D50" s="4" t="s">
        <v>487</v>
      </c>
      <c r="E50" s="4" t="s">
        <v>453</v>
      </c>
      <c r="F50" s="4" t="s">
        <v>490</v>
      </c>
      <c r="G50" s="4" t="s">
        <v>455</v>
      </c>
    </row>
    <row r="51" customFormat="false" ht="27.75" hidden="false" customHeight="true" outlineLevel="0" collapsed="false">
      <c r="A51" s="4" t="s">
        <v>384</v>
      </c>
      <c r="B51" s="4" t="s">
        <v>488</v>
      </c>
      <c r="C51" s="37" t="n">
        <v>0.04</v>
      </c>
      <c r="D51" s="4" t="s">
        <v>489</v>
      </c>
      <c r="E51" s="4" t="s">
        <v>453</v>
      </c>
      <c r="F51" s="4" t="s">
        <v>490</v>
      </c>
      <c r="G51" s="4" t="s">
        <v>455</v>
      </c>
    </row>
    <row r="52" customFormat="false" ht="27.75" hidden="false" customHeight="true" outlineLevel="0" collapsed="false">
      <c r="A52" s="4" t="s">
        <v>387</v>
      </c>
      <c r="B52" s="4" t="s">
        <v>451</v>
      </c>
      <c r="C52" s="37" t="n">
        <v>0.02</v>
      </c>
      <c r="D52" s="4" t="s">
        <v>452</v>
      </c>
      <c r="E52" s="4" t="s">
        <v>453</v>
      </c>
      <c r="F52" s="4" t="s">
        <v>491</v>
      </c>
      <c r="G52" s="4" t="s">
        <v>455</v>
      </c>
    </row>
    <row r="53" customFormat="false" ht="27.75" hidden="false" customHeight="true" outlineLevel="0" collapsed="false">
      <c r="A53" s="4" t="s">
        <v>387</v>
      </c>
      <c r="B53" s="4" t="s">
        <v>457</v>
      </c>
      <c r="C53" s="37" t="n">
        <v>0.15</v>
      </c>
      <c r="D53" s="4" t="s">
        <v>458</v>
      </c>
      <c r="E53" s="4" t="s">
        <v>453</v>
      </c>
      <c r="F53" s="4" t="s">
        <v>491</v>
      </c>
      <c r="G53" s="4" t="s">
        <v>455</v>
      </c>
    </row>
    <row r="54" customFormat="false" ht="27.75" hidden="false" customHeight="true" outlineLevel="0" collapsed="false">
      <c r="A54" s="4" t="s">
        <v>387</v>
      </c>
      <c r="B54" s="4" t="s">
        <v>460</v>
      </c>
      <c r="C54" s="37" t="n">
        <v>0.04</v>
      </c>
      <c r="D54" s="4" t="s">
        <v>461</v>
      </c>
      <c r="E54" s="4" t="s">
        <v>453</v>
      </c>
      <c r="F54" s="4" t="s">
        <v>491</v>
      </c>
      <c r="G54" s="4" t="s">
        <v>455</v>
      </c>
    </row>
    <row r="55" customFormat="false" ht="27.75" hidden="false" customHeight="true" outlineLevel="0" collapsed="false">
      <c r="A55" s="4" t="s">
        <v>387</v>
      </c>
      <c r="B55" s="4" t="s">
        <v>463</v>
      </c>
      <c r="C55" s="37" t="n">
        <v>0.05</v>
      </c>
      <c r="D55" s="4" t="s">
        <v>464</v>
      </c>
      <c r="E55" s="4" t="s">
        <v>453</v>
      </c>
      <c r="F55" s="4" t="s">
        <v>491</v>
      </c>
      <c r="G55" s="4" t="s">
        <v>455</v>
      </c>
    </row>
    <row r="56" customFormat="false" ht="27.75" hidden="false" customHeight="true" outlineLevel="0" collapsed="false">
      <c r="A56" s="4" t="s">
        <v>387</v>
      </c>
      <c r="B56" s="4" t="s">
        <v>466</v>
      </c>
      <c r="C56" s="37" t="n">
        <v>0.01</v>
      </c>
      <c r="D56" s="4" t="s">
        <v>467</v>
      </c>
      <c r="E56" s="4" t="s">
        <v>453</v>
      </c>
      <c r="F56" s="4" t="s">
        <v>491</v>
      </c>
      <c r="G56" s="4" t="s">
        <v>455</v>
      </c>
    </row>
    <row r="57" customFormat="false" ht="27.75" hidden="false" customHeight="true" outlineLevel="0" collapsed="false">
      <c r="A57" s="4" t="s">
        <v>387</v>
      </c>
      <c r="B57" s="4" t="s">
        <v>468</v>
      </c>
      <c r="C57" s="37" t="n">
        <v>0.05</v>
      </c>
      <c r="D57" s="4" t="s">
        <v>469</v>
      </c>
      <c r="E57" s="4" t="s">
        <v>453</v>
      </c>
      <c r="F57" s="4" t="s">
        <v>491</v>
      </c>
      <c r="G57" s="4" t="s">
        <v>455</v>
      </c>
    </row>
    <row r="58" customFormat="false" ht="27.75" hidden="false" customHeight="true" outlineLevel="0" collapsed="false">
      <c r="A58" s="4" t="s">
        <v>387</v>
      </c>
      <c r="B58" s="4" t="s">
        <v>470</v>
      </c>
      <c r="C58" s="37" t="n">
        <v>0.03</v>
      </c>
      <c r="D58" s="4" t="s">
        <v>471</v>
      </c>
      <c r="E58" s="4" t="s">
        <v>453</v>
      </c>
      <c r="F58" s="4" t="s">
        <v>491</v>
      </c>
      <c r="G58" s="4" t="s">
        <v>455</v>
      </c>
    </row>
    <row r="59" customFormat="false" ht="27.75" hidden="false" customHeight="true" outlineLevel="0" collapsed="false">
      <c r="A59" s="4" t="s">
        <v>387</v>
      </c>
      <c r="B59" s="4" t="s">
        <v>472</v>
      </c>
      <c r="C59" s="37" t="n">
        <v>0.03</v>
      </c>
      <c r="D59" s="4" t="s">
        <v>473</v>
      </c>
      <c r="E59" s="4" t="s">
        <v>453</v>
      </c>
      <c r="F59" s="4" t="s">
        <v>491</v>
      </c>
      <c r="G59" s="4" t="s">
        <v>455</v>
      </c>
    </row>
    <row r="60" customFormat="false" ht="27.75" hidden="false" customHeight="true" outlineLevel="0" collapsed="false">
      <c r="A60" s="4" t="s">
        <v>387</v>
      </c>
      <c r="B60" s="4" t="s">
        <v>474</v>
      </c>
      <c r="C60" s="37" t="n">
        <v>0.05</v>
      </c>
      <c r="D60" s="4" t="s">
        <v>475</v>
      </c>
      <c r="E60" s="4" t="s">
        <v>453</v>
      </c>
      <c r="F60" s="4" t="s">
        <v>491</v>
      </c>
      <c r="G60" s="4" t="s">
        <v>455</v>
      </c>
    </row>
    <row r="61" customFormat="false" ht="27.75" hidden="false" customHeight="true" outlineLevel="0" collapsed="false">
      <c r="A61" s="4" t="s">
        <v>387</v>
      </c>
      <c r="B61" s="4" t="s">
        <v>476</v>
      </c>
      <c r="C61" s="37" t="n">
        <v>0.04</v>
      </c>
      <c r="D61" s="4" t="s">
        <v>477</v>
      </c>
      <c r="E61" s="4" t="s">
        <v>453</v>
      </c>
      <c r="F61" s="4" t="s">
        <v>491</v>
      </c>
      <c r="G61" s="4" t="s">
        <v>455</v>
      </c>
    </row>
    <row r="62" customFormat="false" ht="27.75" hidden="false" customHeight="true" outlineLevel="0" collapsed="false">
      <c r="A62" s="4" t="s">
        <v>387</v>
      </c>
      <c r="B62" s="4" t="s">
        <v>478</v>
      </c>
      <c r="C62" s="37" t="n">
        <v>0.05</v>
      </c>
      <c r="D62" s="4" t="s">
        <v>479</v>
      </c>
      <c r="E62" s="4" t="s">
        <v>453</v>
      </c>
      <c r="F62" s="4" t="s">
        <v>491</v>
      </c>
      <c r="G62" s="4" t="s">
        <v>455</v>
      </c>
    </row>
    <row r="63" customFormat="false" ht="27.75" hidden="false" customHeight="true" outlineLevel="0" collapsed="false">
      <c r="A63" s="4" t="s">
        <v>387</v>
      </c>
      <c r="B63" s="4" t="s">
        <v>480</v>
      </c>
      <c r="C63" s="37" t="n">
        <v>0.02</v>
      </c>
      <c r="D63" s="4" t="s">
        <v>481</v>
      </c>
      <c r="E63" s="4" t="s">
        <v>453</v>
      </c>
      <c r="F63" s="4" t="s">
        <v>491</v>
      </c>
      <c r="G63" s="4" t="s">
        <v>455</v>
      </c>
    </row>
    <row r="64" customFormat="false" ht="27.75" hidden="false" customHeight="true" outlineLevel="0" collapsed="false">
      <c r="A64" s="4" t="s">
        <v>387</v>
      </c>
      <c r="B64" s="4" t="s">
        <v>482</v>
      </c>
      <c r="C64" s="37" t="n">
        <v>0.04</v>
      </c>
      <c r="D64" s="4" t="s">
        <v>483</v>
      </c>
      <c r="E64" s="4" t="s">
        <v>453</v>
      </c>
      <c r="F64" s="4" t="s">
        <v>491</v>
      </c>
      <c r="G64" s="4" t="s">
        <v>455</v>
      </c>
    </row>
    <row r="65" customFormat="false" ht="27.75" hidden="false" customHeight="true" outlineLevel="0" collapsed="false">
      <c r="A65" s="4" t="s">
        <v>387</v>
      </c>
      <c r="B65" s="4" t="s">
        <v>484</v>
      </c>
      <c r="C65" s="37" t="n">
        <v>0.01</v>
      </c>
      <c r="D65" s="4" t="s">
        <v>485</v>
      </c>
      <c r="E65" s="4" t="s">
        <v>453</v>
      </c>
      <c r="F65" s="4" t="s">
        <v>491</v>
      </c>
      <c r="G65" s="4" t="s">
        <v>455</v>
      </c>
    </row>
    <row r="66" customFormat="false" ht="27.75" hidden="false" customHeight="true" outlineLevel="0" collapsed="false">
      <c r="A66" s="4" t="s">
        <v>387</v>
      </c>
      <c r="B66" s="4" t="s">
        <v>486</v>
      </c>
      <c r="C66" s="37" t="n">
        <v>0.38</v>
      </c>
      <c r="D66" s="4" t="s">
        <v>487</v>
      </c>
      <c r="E66" s="4" t="s">
        <v>453</v>
      </c>
      <c r="F66" s="4" t="s">
        <v>491</v>
      </c>
      <c r="G66" s="4" t="s">
        <v>455</v>
      </c>
    </row>
    <row r="67" customFormat="false" ht="27.75" hidden="false" customHeight="true" outlineLevel="0" collapsed="false">
      <c r="A67" s="4" t="s">
        <v>387</v>
      </c>
      <c r="B67" s="4" t="s">
        <v>488</v>
      </c>
      <c r="C67" s="37" t="n">
        <v>0.03</v>
      </c>
      <c r="D67" s="4" t="s">
        <v>489</v>
      </c>
      <c r="E67" s="4" t="s">
        <v>453</v>
      </c>
      <c r="F67" s="4" t="s">
        <v>491</v>
      </c>
      <c r="G67" s="4" t="s">
        <v>455</v>
      </c>
    </row>
    <row r="68" customFormat="false" ht="27.75" hidden="false" customHeight="true" outlineLevel="0" collapsed="false">
      <c r="A68" s="4" t="s">
        <v>390</v>
      </c>
      <c r="B68" s="4" t="s">
        <v>451</v>
      </c>
      <c r="C68" s="37" t="n">
        <v>0.1</v>
      </c>
      <c r="D68" s="4" t="s">
        <v>452</v>
      </c>
      <c r="E68" s="4" t="s">
        <v>453</v>
      </c>
      <c r="F68" s="4" t="s">
        <v>492</v>
      </c>
      <c r="G68" s="4" t="s">
        <v>455</v>
      </c>
    </row>
    <row r="69" customFormat="false" ht="27.75" hidden="false" customHeight="true" outlineLevel="0" collapsed="false">
      <c r="A69" s="4" t="s">
        <v>390</v>
      </c>
      <c r="B69" s="4" t="s">
        <v>457</v>
      </c>
      <c r="C69" s="37" t="n">
        <v>0.05</v>
      </c>
      <c r="D69" s="4" t="s">
        <v>458</v>
      </c>
      <c r="E69" s="4" t="s">
        <v>453</v>
      </c>
      <c r="F69" s="4" t="s">
        <v>492</v>
      </c>
      <c r="G69" s="4" t="s">
        <v>455</v>
      </c>
    </row>
    <row r="70" customFormat="false" ht="27.75" hidden="false" customHeight="true" outlineLevel="0" collapsed="false">
      <c r="A70" s="4" t="s">
        <v>390</v>
      </c>
      <c r="B70" s="4" t="s">
        <v>460</v>
      </c>
      <c r="C70" s="37" t="n">
        <v>0.02</v>
      </c>
      <c r="D70" s="4" t="s">
        <v>461</v>
      </c>
      <c r="E70" s="4" t="s">
        <v>453</v>
      </c>
      <c r="F70" s="4" t="s">
        <v>492</v>
      </c>
      <c r="G70" s="4" t="s">
        <v>455</v>
      </c>
    </row>
    <row r="71" customFormat="false" ht="27.75" hidden="false" customHeight="true" outlineLevel="0" collapsed="false">
      <c r="A71" s="4" t="s">
        <v>390</v>
      </c>
      <c r="B71" s="4" t="s">
        <v>463</v>
      </c>
      <c r="C71" s="37" t="n">
        <v>0.15</v>
      </c>
      <c r="D71" s="4" t="s">
        <v>464</v>
      </c>
      <c r="E71" s="4" t="s">
        <v>453</v>
      </c>
      <c r="F71" s="4" t="s">
        <v>492</v>
      </c>
      <c r="G71" s="4" t="s">
        <v>455</v>
      </c>
    </row>
    <row r="72" customFormat="false" ht="27.75" hidden="false" customHeight="true" outlineLevel="0" collapsed="false">
      <c r="A72" s="4" t="s">
        <v>390</v>
      </c>
      <c r="B72" s="4" t="s">
        <v>466</v>
      </c>
      <c r="C72" s="37" t="n">
        <v>0.01</v>
      </c>
      <c r="D72" s="4" t="s">
        <v>467</v>
      </c>
      <c r="E72" s="4" t="s">
        <v>453</v>
      </c>
      <c r="F72" s="4" t="s">
        <v>492</v>
      </c>
      <c r="G72" s="4" t="s">
        <v>455</v>
      </c>
    </row>
    <row r="73" customFormat="false" ht="27.75" hidden="false" customHeight="true" outlineLevel="0" collapsed="false">
      <c r="A73" s="4" t="s">
        <v>390</v>
      </c>
      <c r="B73" s="4" t="s">
        <v>468</v>
      </c>
      <c r="C73" s="37" t="n">
        <v>0.08</v>
      </c>
      <c r="D73" s="4" t="s">
        <v>469</v>
      </c>
      <c r="E73" s="4" t="s">
        <v>453</v>
      </c>
      <c r="F73" s="4" t="s">
        <v>492</v>
      </c>
      <c r="G73" s="4" t="s">
        <v>455</v>
      </c>
    </row>
    <row r="74" customFormat="false" ht="27.75" hidden="false" customHeight="true" outlineLevel="0" collapsed="false">
      <c r="A74" s="4" t="s">
        <v>390</v>
      </c>
      <c r="B74" s="4" t="s">
        <v>470</v>
      </c>
      <c r="C74" s="37" t="n">
        <v>0.02</v>
      </c>
      <c r="D74" s="4" t="s">
        <v>471</v>
      </c>
      <c r="E74" s="4" t="s">
        <v>453</v>
      </c>
      <c r="F74" s="4" t="s">
        <v>492</v>
      </c>
      <c r="G74" s="4" t="s">
        <v>455</v>
      </c>
    </row>
    <row r="75" customFormat="false" ht="27.75" hidden="false" customHeight="true" outlineLevel="0" collapsed="false">
      <c r="A75" s="4" t="s">
        <v>390</v>
      </c>
      <c r="B75" s="4" t="s">
        <v>472</v>
      </c>
      <c r="C75" s="37" t="n">
        <v>0.1</v>
      </c>
      <c r="D75" s="4" t="s">
        <v>473</v>
      </c>
      <c r="E75" s="4" t="s">
        <v>453</v>
      </c>
      <c r="F75" s="4" t="s">
        <v>492</v>
      </c>
      <c r="G75" s="4" t="s">
        <v>455</v>
      </c>
    </row>
    <row r="76" customFormat="false" ht="27.75" hidden="false" customHeight="true" outlineLevel="0" collapsed="false">
      <c r="A76" s="4" t="s">
        <v>390</v>
      </c>
      <c r="B76" s="4" t="s">
        <v>474</v>
      </c>
      <c r="C76" s="37" t="n">
        <v>0.02</v>
      </c>
      <c r="D76" s="4" t="s">
        <v>475</v>
      </c>
      <c r="E76" s="4" t="s">
        <v>453</v>
      </c>
      <c r="F76" s="4" t="s">
        <v>492</v>
      </c>
      <c r="G76" s="4" t="s">
        <v>455</v>
      </c>
    </row>
    <row r="77" customFormat="false" ht="27.75" hidden="false" customHeight="true" outlineLevel="0" collapsed="false">
      <c r="A77" s="4" t="s">
        <v>390</v>
      </c>
      <c r="B77" s="4" t="s">
        <v>476</v>
      </c>
      <c r="C77" s="37" t="n">
        <v>0.1</v>
      </c>
      <c r="D77" s="4" t="s">
        <v>477</v>
      </c>
      <c r="E77" s="4" t="s">
        <v>453</v>
      </c>
      <c r="F77" s="4" t="s">
        <v>492</v>
      </c>
      <c r="G77" s="4" t="s">
        <v>455</v>
      </c>
    </row>
    <row r="78" customFormat="false" ht="27.75" hidden="false" customHeight="true" outlineLevel="0" collapsed="false">
      <c r="A78" s="4" t="s">
        <v>390</v>
      </c>
      <c r="B78" s="4" t="s">
        <v>478</v>
      </c>
      <c r="C78" s="37" t="n">
        <v>0.03</v>
      </c>
      <c r="D78" s="4" t="s">
        <v>479</v>
      </c>
      <c r="E78" s="4" t="s">
        <v>453</v>
      </c>
      <c r="F78" s="4" t="s">
        <v>492</v>
      </c>
      <c r="G78" s="4" t="s">
        <v>455</v>
      </c>
    </row>
    <row r="79" customFormat="false" ht="27.75" hidden="false" customHeight="true" outlineLevel="0" collapsed="false">
      <c r="A79" s="4" t="s">
        <v>390</v>
      </c>
      <c r="B79" s="4" t="s">
        <v>480</v>
      </c>
      <c r="C79" s="37" t="n">
        <v>0.02</v>
      </c>
      <c r="D79" s="4" t="s">
        <v>481</v>
      </c>
      <c r="E79" s="4" t="s">
        <v>453</v>
      </c>
      <c r="F79" s="4" t="s">
        <v>492</v>
      </c>
      <c r="G79" s="4" t="s">
        <v>455</v>
      </c>
    </row>
    <row r="80" customFormat="false" ht="27.75" hidden="false" customHeight="true" outlineLevel="0" collapsed="false">
      <c r="A80" s="4" t="s">
        <v>390</v>
      </c>
      <c r="B80" s="4" t="s">
        <v>482</v>
      </c>
      <c r="C80" s="37" t="n">
        <v>0.02</v>
      </c>
      <c r="D80" s="4" t="s">
        <v>483</v>
      </c>
      <c r="E80" s="4" t="s">
        <v>453</v>
      </c>
      <c r="F80" s="4" t="s">
        <v>492</v>
      </c>
      <c r="G80" s="4" t="s">
        <v>455</v>
      </c>
    </row>
    <row r="81" customFormat="false" ht="27.75" hidden="false" customHeight="true" outlineLevel="0" collapsed="false">
      <c r="A81" s="4" t="s">
        <v>390</v>
      </c>
      <c r="B81" s="4" t="s">
        <v>484</v>
      </c>
      <c r="C81" s="37" t="n">
        <v>0.01</v>
      </c>
      <c r="D81" s="4" t="s">
        <v>485</v>
      </c>
      <c r="E81" s="4" t="s">
        <v>453</v>
      </c>
      <c r="F81" s="4" t="s">
        <v>492</v>
      </c>
      <c r="G81" s="4" t="s">
        <v>455</v>
      </c>
    </row>
    <row r="82" customFormat="false" ht="27.75" hidden="false" customHeight="true" outlineLevel="0" collapsed="false">
      <c r="A82" s="4" t="s">
        <v>390</v>
      </c>
      <c r="B82" s="4" t="s">
        <v>486</v>
      </c>
      <c r="C82" s="37" t="n">
        <v>0.25</v>
      </c>
      <c r="D82" s="4" t="s">
        <v>487</v>
      </c>
      <c r="E82" s="4" t="s">
        <v>453</v>
      </c>
      <c r="F82" s="4" t="s">
        <v>492</v>
      </c>
      <c r="G82" s="4" t="s">
        <v>455</v>
      </c>
    </row>
    <row r="83" customFormat="false" ht="27.75" hidden="false" customHeight="true" outlineLevel="0" collapsed="false">
      <c r="A83" s="4" t="s">
        <v>390</v>
      </c>
      <c r="B83" s="4" t="s">
        <v>488</v>
      </c>
      <c r="C83" s="37" t="n">
        <v>0.02</v>
      </c>
      <c r="D83" s="4" t="s">
        <v>489</v>
      </c>
      <c r="E83" s="4" t="s">
        <v>453</v>
      </c>
      <c r="F83" s="4" t="s">
        <v>492</v>
      </c>
      <c r="G83" s="4" t="s">
        <v>455</v>
      </c>
    </row>
    <row r="85" customFormat="false" ht="15" hidden="false" customHeight="true" outlineLevel="0" collapsed="false">
      <c r="A85" s="6" t="s">
        <v>493</v>
      </c>
    </row>
    <row r="86" customFormat="false" ht="15" hidden="false" customHeight="true" outlineLevel="0" collapsed="false">
      <c r="A86" s="6" t="s">
        <v>494</v>
      </c>
      <c r="B86" s="6" t="s">
        <v>495</v>
      </c>
      <c r="C86" s="6" t="s">
        <v>496</v>
      </c>
      <c r="D86" s="6" t="s">
        <v>497</v>
      </c>
    </row>
    <row r="87" customFormat="false" ht="41.25" hidden="false" customHeight="true" outlineLevel="0" collapsed="false">
      <c r="A87" s="1" t="s">
        <v>498</v>
      </c>
      <c r="B87" s="14" t="s">
        <v>499</v>
      </c>
      <c r="C87" s="14" t="s">
        <v>500</v>
      </c>
      <c r="D87" s="14" t="s">
        <v>501</v>
      </c>
    </row>
    <row r="88" customFormat="false" ht="41.25" hidden="false" customHeight="true" outlineLevel="0" collapsed="false">
      <c r="A88" s="1" t="s">
        <v>502</v>
      </c>
      <c r="B88" s="14" t="s">
        <v>503</v>
      </c>
      <c r="C88" s="14" t="s">
        <v>504</v>
      </c>
      <c r="D88" s="14" t="s">
        <v>505</v>
      </c>
    </row>
    <row r="89" customFormat="false" ht="41.25" hidden="false" customHeight="true" outlineLevel="0" collapsed="false">
      <c r="A89" s="1" t="s">
        <v>506</v>
      </c>
      <c r="B89" s="14" t="s">
        <v>507</v>
      </c>
      <c r="C89" s="14" t="s">
        <v>508</v>
      </c>
      <c r="D89" s="14" t="s">
        <v>509</v>
      </c>
    </row>
    <row r="90" customFormat="false" ht="27.75" hidden="false" customHeight="true" outlineLevel="0" collapsed="false">
      <c r="A90" s="1" t="s">
        <v>510</v>
      </c>
      <c r="B90" s="14" t="s">
        <v>511</v>
      </c>
      <c r="C90" s="14" t="s">
        <v>512</v>
      </c>
      <c r="D90" s="14" t="s">
        <v>513</v>
      </c>
    </row>
  </sheetData>
  <mergeCells count="1">
    <mergeCell ref="A1:J1"/>
  </mergeCells>
  <conditionalFormatting sqref="J4:J8">
    <cfRule type="cellIs" priority="2" operator="notEqual" aboveAverage="0" equalAverage="0" bottom="0" percent="0" rank="0" text="" dxfId="6">
      <formula>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16"/>
    <col collapsed="false" customWidth="true" hidden="false" outlineLevel="0" max="4" min="4" style="1" width="20"/>
    <col collapsed="false" customWidth="true" hidden="false" outlineLevel="0" max="5" min="5" style="1" width="18"/>
    <col collapsed="false" customWidth="true" hidden="false" outlineLevel="0" max="6" min="6" style="1" width="16"/>
    <col collapsed="false" customWidth="true" hidden="false" outlineLevel="0" max="7" min="7" style="1" width="20"/>
  </cols>
  <sheetData>
    <row r="1" customFormat="false" ht="17.25" hidden="false" customHeight="true" outlineLevel="0" collapsed="false">
      <c r="A1" s="39" t="s">
        <v>514</v>
      </c>
    </row>
    <row r="2" customFormat="false" ht="57.75" hidden="false" customHeight="true" outlineLevel="0" collapsed="false">
      <c r="A2" s="40" t="s">
        <v>515</v>
      </c>
      <c r="B2" s="40"/>
      <c r="C2" s="40"/>
      <c r="D2" s="40"/>
      <c r="E2" s="40"/>
      <c r="F2" s="40"/>
      <c r="G2" s="40"/>
      <c r="H2" s="40"/>
    </row>
    <row r="4" customFormat="false" ht="27.75" hidden="false" customHeight="true" outlineLevel="0" collapsed="false">
      <c r="A4" s="17" t="s">
        <v>444</v>
      </c>
      <c r="B4" s="17" t="s">
        <v>516</v>
      </c>
      <c r="C4" s="17" t="s">
        <v>517</v>
      </c>
      <c r="D4" s="17" t="s">
        <v>518</v>
      </c>
      <c r="E4" s="17" t="s">
        <v>519</v>
      </c>
      <c r="F4" s="17" t="s">
        <v>520</v>
      </c>
      <c r="G4" s="17" t="s">
        <v>521</v>
      </c>
    </row>
    <row r="5" customFormat="false" ht="15" hidden="false" customHeight="true" outlineLevel="0" collapsed="false">
      <c r="A5" s="1" t="s">
        <v>451</v>
      </c>
      <c r="B5" s="19" t="n">
        <f aca="false">'Cross-Sector Allocation'!C4*'Consequence Targets'!U10</f>
        <v>108675000</v>
      </c>
      <c r="C5" s="19" t="n">
        <f aca="false">'Cross-Sector Allocation'!C20*'Consequence Targets'!U19</f>
        <v>58684500</v>
      </c>
      <c r="D5" s="19" t="n">
        <f aca="false">'Cross-Sector Allocation'!C36*'Consequence Targets'!U28</f>
        <v>69552000</v>
      </c>
      <c r="E5" s="19" t="n">
        <f aca="false">'Cross-Sector Allocation'!C52*'Consequence Targets'!U37</f>
        <v>34776000</v>
      </c>
      <c r="F5" s="19" t="n">
        <f aca="false">'Cross-Sector Allocation'!C68*'Consequence Targets'!U46</f>
        <v>65205000</v>
      </c>
      <c r="G5" s="19" t="n">
        <f aca="false">SUM(B5:F5)</f>
        <v>336892500</v>
      </c>
    </row>
    <row r="6" customFormat="false" ht="15" hidden="false" customHeight="true" outlineLevel="0" collapsed="false">
      <c r="A6" s="1" t="s">
        <v>457</v>
      </c>
      <c r="B6" s="19" t="n">
        <f aca="false">'Cross-Sector Allocation'!C5*'Consequence Targets'!U10</f>
        <v>54337500</v>
      </c>
      <c r="C6" s="19" t="n">
        <f aca="false">'Cross-Sector Allocation'!C21*'Consequence Targets'!U19</f>
        <v>32602500</v>
      </c>
      <c r="D6" s="19" t="n">
        <f aca="false">'Cross-Sector Allocation'!C37*'Consequence Targets'!U28</f>
        <v>34776000</v>
      </c>
      <c r="E6" s="19" t="n">
        <f aca="false">'Cross-Sector Allocation'!C53*'Consequence Targets'!U37</f>
        <v>260820000</v>
      </c>
      <c r="F6" s="19" t="n">
        <f aca="false">'Cross-Sector Allocation'!C69*'Consequence Targets'!U46</f>
        <v>32602500</v>
      </c>
      <c r="G6" s="19" t="n">
        <f aca="false">SUM(B6:F6)</f>
        <v>415138500</v>
      </c>
    </row>
    <row r="7" customFormat="false" ht="15" hidden="false" customHeight="true" outlineLevel="0" collapsed="false">
      <c r="A7" s="1" t="s">
        <v>460</v>
      </c>
      <c r="B7" s="19" t="n">
        <f aca="false">'Cross-Sector Allocation'!C6*'Consequence Targets'!U10</f>
        <v>21735000</v>
      </c>
      <c r="C7" s="19" t="n">
        <f aca="false">'Cross-Sector Allocation'!C22*'Consequence Targets'!U19</f>
        <v>13041000</v>
      </c>
      <c r="D7" s="19" t="n">
        <f aca="false">'Cross-Sector Allocation'!C38*'Consequence Targets'!U28</f>
        <v>17388000</v>
      </c>
      <c r="E7" s="19" t="n">
        <f aca="false">'Cross-Sector Allocation'!C54*'Consequence Targets'!U37</f>
        <v>69552000</v>
      </c>
      <c r="F7" s="19" t="n">
        <f aca="false">'Cross-Sector Allocation'!C70*'Consequence Targets'!U46</f>
        <v>13041000</v>
      </c>
      <c r="G7" s="19" t="n">
        <f aca="false">SUM(B7:F7)</f>
        <v>134757000</v>
      </c>
    </row>
    <row r="8" customFormat="false" ht="15" hidden="false" customHeight="true" outlineLevel="0" collapsed="false">
      <c r="A8" s="1" t="s">
        <v>463</v>
      </c>
      <c r="B8" s="19" t="n">
        <f aca="false">'Cross-Sector Allocation'!C7*'Consequence Targets'!U10</f>
        <v>108675000</v>
      </c>
      <c r="C8" s="19" t="n">
        <f aca="false">'Cross-Sector Allocation'!C23*'Consequence Targets'!U19</f>
        <v>65205000</v>
      </c>
      <c r="D8" s="19" t="n">
        <f aca="false">'Cross-Sector Allocation'!C39*'Consequence Targets'!U28</f>
        <v>78246000</v>
      </c>
      <c r="E8" s="19" t="n">
        <f aca="false">'Cross-Sector Allocation'!C55*'Consequence Targets'!U37</f>
        <v>86940000</v>
      </c>
      <c r="F8" s="19" t="n">
        <f aca="false">'Cross-Sector Allocation'!C71*'Consequence Targets'!U46</f>
        <v>97807500</v>
      </c>
      <c r="G8" s="19" t="n">
        <f aca="false">SUM(B8:F8)</f>
        <v>436873500</v>
      </c>
    </row>
    <row r="9" customFormat="false" ht="15" hidden="false" customHeight="true" outlineLevel="0" collapsed="false">
      <c r="A9" s="1" t="s">
        <v>466</v>
      </c>
      <c r="B9" s="19" t="n">
        <f aca="false">'Cross-Sector Allocation'!C8*'Consequence Targets'!U10</f>
        <v>10867500</v>
      </c>
      <c r="C9" s="19" t="n">
        <f aca="false">'Cross-Sector Allocation'!C24*'Consequence Targets'!U19</f>
        <v>6520500</v>
      </c>
      <c r="D9" s="19" t="n">
        <f aca="false">'Cross-Sector Allocation'!C40*'Consequence Targets'!U28</f>
        <v>8694000</v>
      </c>
      <c r="E9" s="19" t="n">
        <f aca="false">'Cross-Sector Allocation'!C56*'Consequence Targets'!U37</f>
        <v>17388000</v>
      </c>
      <c r="F9" s="19" t="n">
        <f aca="false">'Cross-Sector Allocation'!C72*'Consequence Targets'!U46</f>
        <v>6520500</v>
      </c>
      <c r="G9" s="19" t="n">
        <f aca="false">SUM(B9:F9)</f>
        <v>49990500</v>
      </c>
    </row>
    <row r="10" customFormat="false" ht="15" hidden="false" customHeight="true" outlineLevel="0" collapsed="false">
      <c r="A10" s="1" t="s">
        <v>468</v>
      </c>
      <c r="B10" s="19" t="n">
        <f aca="false">'Cross-Sector Allocation'!C9*'Consequence Targets'!U10</f>
        <v>76072500</v>
      </c>
      <c r="C10" s="19" t="n">
        <f aca="false">'Cross-Sector Allocation'!C25*'Consequence Targets'!U19</f>
        <v>39123000</v>
      </c>
      <c r="D10" s="19" t="n">
        <f aca="false">'Cross-Sector Allocation'!C41*'Consequence Targets'!U28</f>
        <v>60858000</v>
      </c>
      <c r="E10" s="19" t="n">
        <f aca="false">'Cross-Sector Allocation'!C57*'Consequence Targets'!U37</f>
        <v>86940000</v>
      </c>
      <c r="F10" s="19" t="n">
        <f aca="false">'Cross-Sector Allocation'!C73*'Consequence Targets'!U46</f>
        <v>52164000</v>
      </c>
      <c r="G10" s="19" t="n">
        <f aca="false">SUM(B10:F10)</f>
        <v>315157500</v>
      </c>
    </row>
    <row r="11" customFormat="false" ht="15" hidden="false" customHeight="true" outlineLevel="0" collapsed="false">
      <c r="A11" s="1" t="s">
        <v>470</v>
      </c>
      <c r="B11" s="19" t="n">
        <f aca="false">'Cross-Sector Allocation'!C10*'Consequence Targets'!U10</f>
        <v>21735000</v>
      </c>
      <c r="C11" s="19" t="n">
        <f aca="false">'Cross-Sector Allocation'!C26*'Consequence Targets'!U19</f>
        <v>13041000</v>
      </c>
      <c r="D11" s="19" t="n">
        <f aca="false">'Cross-Sector Allocation'!C42*'Consequence Targets'!U28</f>
        <v>17388000</v>
      </c>
      <c r="E11" s="19" t="n">
        <f aca="false">'Cross-Sector Allocation'!C58*'Consequence Targets'!U37</f>
        <v>52164000</v>
      </c>
      <c r="F11" s="19" t="n">
        <f aca="false">'Cross-Sector Allocation'!C74*'Consequence Targets'!U46</f>
        <v>13041000</v>
      </c>
      <c r="G11" s="19" t="n">
        <f aca="false">SUM(B11:F11)</f>
        <v>117369000</v>
      </c>
    </row>
    <row r="12" customFormat="false" ht="15" hidden="false" customHeight="true" outlineLevel="0" collapsed="false">
      <c r="A12" s="1" t="s">
        <v>472</v>
      </c>
      <c r="B12" s="19" t="n">
        <f aca="false">'Cross-Sector Allocation'!C11*'Consequence Targets'!U10</f>
        <v>380362500</v>
      </c>
      <c r="C12" s="19" t="n">
        <f aca="false">'Cross-Sector Allocation'!C27*'Consequence Targets'!U19</f>
        <v>234738000</v>
      </c>
      <c r="D12" s="19" t="n">
        <f aca="false">'Cross-Sector Allocation'!C43*'Consequence Targets'!U28</f>
        <v>330372000</v>
      </c>
      <c r="E12" s="19" t="n">
        <f aca="false">'Cross-Sector Allocation'!C59*'Consequence Targets'!U37</f>
        <v>52164000</v>
      </c>
      <c r="F12" s="19" t="n">
        <f aca="false">'Cross-Sector Allocation'!C75*'Consequence Targets'!U46</f>
        <v>65205000</v>
      </c>
      <c r="G12" s="19" t="n">
        <f aca="false">SUM(B12:F12)</f>
        <v>1062841500</v>
      </c>
    </row>
    <row r="13" customFormat="false" ht="15" hidden="false" customHeight="true" outlineLevel="0" collapsed="false">
      <c r="A13" s="1" t="s">
        <v>474</v>
      </c>
      <c r="B13" s="19" t="n">
        <f aca="false">'Cross-Sector Allocation'!C12*'Consequence Targets'!U10</f>
        <v>21735000</v>
      </c>
      <c r="C13" s="19" t="n">
        <f aca="false">'Cross-Sector Allocation'!C28*'Consequence Targets'!U19</f>
        <v>13041000</v>
      </c>
      <c r="D13" s="19" t="n">
        <f aca="false">'Cross-Sector Allocation'!C44*'Consequence Targets'!U28</f>
        <v>17388000</v>
      </c>
      <c r="E13" s="19" t="n">
        <f aca="false">'Cross-Sector Allocation'!C60*'Consequence Targets'!U37</f>
        <v>86940000</v>
      </c>
      <c r="F13" s="19" t="n">
        <f aca="false">'Cross-Sector Allocation'!C76*'Consequence Targets'!U46</f>
        <v>13041000</v>
      </c>
      <c r="G13" s="19" t="n">
        <f aca="false">SUM(B13:F13)</f>
        <v>152145000</v>
      </c>
    </row>
    <row r="14" customFormat="false" ht="15" hidden="false" customHeight="true" outlineLevel="0" collapsed="false">
      <c r="A14" s="1" t="s">
        <v>476</v>
      </c>
      <c r="B14" s="19" t="n">
        <f aca="false">'Cross-Sector Allocation'!C13*'Consequence Targets'!U10</f>
        <v>54337500</v>
      </c>
      <c r="C14" s="19" t="n">
        <f aca="false">'Cross-Sector Allocation'!C29*'Consequence Targets'!U19</f>
        <v>32602500</v>
      </c>
      <c r="D14" s="19" t="n">
        <f aca="false">'Cross-Sector Allocation'!C45*'Consequence Targets'!U28</f>
        <v>34776000</v>
      </c>
      <c r="E14" s="19" t="n">
        <f aca="false">'Cross-Sector Allocation'!C61*'Consequence Targets'!U37</f>
        <v>69552000</v>
      </c>
      <c r="F14" s="19" t="n">
        <f aca="false">'Cross-Sector Allocation'!C77*'Consequence Targets'!U46</f>
        <v>65205000</v>
      </c>
      <c r="G14" s="19" t="n">
        <f aca="false">SUM(B14:F14)</f>
        <v>256473000</v>
      </c>
    </row>
    <row r="15" customFormat="false" ht="15" hidden="false" customHeight="true" outlineLevel="0" collapsed="false">
      <c r="A15" s="1" t="s">
        <v>478</v>
      </c>
      <c r="B15" s="19" t="n">
        <f aca="false">'Cross-Sector Allocation'!C14*'Consequence Targets'!U10</f>
        <v>32602500</v>
      </c>
      <c r="C15" s="19" t="n">
        <f aca="false">'Cross-Sector Allocation'!C30*'Consequence Targets'!U19</f>
        <v>19561500</v>
      </c>
      <c r="D15" s="19" t="n">
        <f aca="false">'Cross-Sector Allocation'!C46*'Consequence Targets'!U28</f>
        <v>26082000</v>
      </c>
      <c r="E15" s="19" t="n">
        <f aca="false">'Cross-Sector Allocation'!C62*'Consequence Targets'!U37</f>
        <v>86940000</v>
      </c>
      <c r="F15" s="19" t="n">
        <f aca="false">'Cross-Sector Allocation'!C78*'Consequence Targets'!U46</f>
        <v>19561500</v>
      </c>
      <c r="G15" s="19" t="n">
        <f aca="false">SUM(B15:F15)</f>
        <v>184747500</v>
      </c>
    </row>
    <row r="16" customFormat="false" ht="15" hidden="false" customHeight="true" outlineLevel="0" collapsed="false">
      <c r="A16" s="1" t="s">
        <v>480</v>
      </c>
      <c r="B16" s="19" t="n">
        <f aca="false">'Cross-Sector Allocation'!C15*'Consequence Targets'!U10</f>
        <v>21735000</v>
      </c>
      <c r="C16" s="19" t="n">
        <f aca="false">'Cross-Sector Allocation'!C31*'Consequence Targets'!U19</f>
        <v>13041000</v>
      </c>
      <c r="D16" s="19" t="n">
        <f aca="false">'Cross-Sector Allocation'!C47*'Consequence Targets'!U28</f>
        <v>17388000</v>
      </c>
      <c r="E16" s="19" t="n">
        <f aca="false">'Cross-Sector Allocation'!C63*'Consequence Targets'!U37</f>
        <v>34776000</v>
      </c>
      <c r="F16" s="19" t="n">
        <f aca="false">'Cross-Sector Allocation'!C79*'Consequence Targets'!U46</f>
        <v>13041000</v>
      </c>
      <c r="G16" s="19" t="n">
        <f aca="false">SUM(B16:F16)</f>
        <v>99981000</v>
      </c>
    </row>
    <row r="17" customFormat="false" ht="15" hidden="false" customHeight="true" outlineLevel="0" collapsed="false">
      <c r="A17" s="1" t="s">
        <v>482</v>
      </c>
      <c r="B17" s="19" t="n">
        <f aca="false">'Cross-Sector Allocation'!C16*'Consequence Targets'!U10</f>
        <v>21735000</v>
      </c>
      <c r="C17" s="19" t="n">
        <f aca="false">'Cross-Sector Allocation'!C32*'Consequence Targets'!U19</f>
        <v>13041000</v>
      </c>
      <c r="D17" s="19" t="n">
        <f aca="false">'Cross-Sector Allocation'!C48*'Consequence Targets'!U28</f>
        <v>17388000</v>
      </c>
      <c r="E17" s="19" t="n">
        <f aca="false">'Cross-Sector Allocation'!C64*'Consequence Targets'!U37</f>
        <v>69552000</v>
      </c>
      <c r="F17" s="19" t="n">
        <f aca="false">'Cross-Sector Allocation'!C80*'Consequence Targets'!U46</f>
        <v>13041000</v>
      </c>
      <c r="G17" s="19" t="n">
        <f aca="false">SUM(B17:F17)</f>
        <v>134757000</v>
      </c>
    </row>
    <row r="18" customFormat="false" ht="15" hidden="false" customHeight="true" outlineLevel="0" collapsed="false">
      <c r="A18" s="1" t="s">
        <v>484</v>
      </c>
      <c r="B18" s="19" t="n">
        <f aca="false">'Cross-Sector Allocation'!C17*'Consequence Targets'!U10</f>
        <v>10867500</v>
      </c>
      <c r="C18" s="19" t="n">
        <f aca="false">'Cross-Sector Allocation'!C33*'Consequence Targets'!U19</f>
        <v>6520500</v>
      </c>
      <c r="D18" s="19" t="n">
        <f aca="false">'Cross-Sector Allocation'!C49*'Consequence Targets'!U28</f>
        <v>17388000</v>
      </c>
      <c r="E18" s="19" t="n">
        <f aca="false">'Cross-Sector Allocation'!C65*'Consequence Targets'!U37</f>
        <v>17388000</v>
      </c>
      <c r="F18" s="19" t="n">
        <f aca="false">'Cross-Sector Allocation'!C81*'Consequence Targets'!U46</f>
        <v>6520500</v>
      </c>
      <c r="G18" s="19" t="n">
        <f aca="false">SUM(B18:F18)</f>
        <v>58684500</v>
      </c>
    </row>
    <row r="19" customFormat="false" ht="15" hidden="false" customHeight="true" outlineLevel="0" collapsed="false">
      <c r="A19" s="1" t="s">
        <v>486</v>
      </c>
      <c r="B19" s="19" t="n">
        <f aca="false">'Cross-Sector Allocation'!C18*'Consequence Targets'!U10</f>
        <v>108675000</v>
      </c>
      <c r="C19" s="19" t="n">
        <f aca="false">'Cross-Sector Allocation'!C34*'Consequence Targets'!U19</f>
        <v>78246000</v>
      </c>
      <c r="D19" s="19" t="n">
        <f aca="false">'Cross-Sector Allocation'!C50*'Consequence Targets'!U28</f>
        <v>86940000</v>
      </c>
      <c r="E19" s="19" t="n">
        <f aca="false">'Cross-Sector Allocation'!C66*'Consequence Targets'!U37</f>
        <v>660744000</v>
      </c>
      <c r="F19" s="19" t="n">
        <f aca="false">'Cross-Sector Allocation'!C82*'Consequence Targets'!U46</f>
        <v>163012500</v>
      </c>
      <c r="G19" s="19" t="n">
        <f aca="false">SUM(B19:F19)</f>
        <v>1097617500</v>
      </c>
    </row>
    <row r="20" customFormat="false" ht="15" hidden="false" customHeight="true" outlineLevel="0" collapsed="false">
      <c r="A20" s="1" t="s">
        <v>488</v>
      </c>
      <c r="B20" s="19" t="n">
        <f aca="false">'Cross-Sector Allocation'!C19*'Consequence Targets'!U10</f>
        <v>32602500</v>
      </c>
      <c r="C20" s="19" t="n">
        <f aca="false">'Cross-Sector Allocation'!C35*'Consequence Targets'!U19</f>
        <v>13041000</v>
      </c>
      <c r="D20" s="19" t="n">
        <f aca="false">'Cross-Sector Allocation'!C51*'Consequence Targets'!U28</f>
        <v>34776000</v>
      </c>
      <c r="E20" s="19" t="n">
        <f aca="false">'Cross-Sector Allocation'!C67*'Consequence Targets'!U37</f>
        <v>52164000</v>
      </c>
      <c r="F20" s="19" t="n">
        <f aca="false">'Cross-Sector Allocation'!C83*'Consequence Targets'!U46</f>
        <v>13041000</v>
      </c>
      <c r="G20" s="19" t="n">
        <f aca="false">SUM(B20:F20)</f>
        <v>145624500</v>
      </c>
    </row>
    <row r="21" customFormat="false" ht="15" hidden="false" customHeight="true" outlineLevel="0" collapsed="false">
      <c r="A21" s="41" t="s">
        <v>522</v>
      </c>
      <c r="B21" s="42" t="n">
        <f aca="false">SUM(B5:B20)</f>
        <v>1086750000</v>
      </c>
      <c r="C21" s="42" t="n">
        <f aca="false">SUM(C5:C20)</f>
        <v>652050000</v>
      </c>
      <c r="D21" s="42" t="n">
        <f aca="false">SUM(D5:D20)</f>
        <v>869400000</v>
      </c>
      <c r="E21" s="42" t="n">
        <f aca="false">SUM(E5:E20)</f>
        <v>1738800000</v>
      </c>
      <c r="F21" s="42" t="n">
        <f aca="false">SUM(F5:F20)</f>
        <v>652050000</v>
      </c>
      <c r="G21" s="42" t="n">
        <f aca="false">SUM(G5:G20)</f>
        <v>4999050000</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58"/>
    <col collapsed="false" customWidth="true" hidden="false" outlineLevel="0" max="4" min="4" style="1" width="80"/>
    <col collapsed="false" customWidth="true" hidden="false" outlineLevel="0" max="5" min="5" style="1" width="48"/>
    <col collapsed="false" customWidth="true" hidden="false" outlineLevel="0" max="6" min="6" style="1" width="40"/>
  </cols>
  <sheetData>
    <row r="1" customFormat="false" ht="27.75" hidden="false" customHeight="true" outlineLevel="0" collapsed="false">
      <c r="A1" s="2" t="s">
        <v>523</v>
      </c>
      <c r="B1" s="2"/>
      <c r="C1" s="2"/>
      <c r="D1" s="2"/>
      <c r="E1" s="2"/>
      <c r="F1" s="2"/>
    </row>
    <row r="3" customFormat="false" ht="15" hidden="false" customHeight="true" outlineLevel="0" collapsed="false">
      <c r="A3" s="8" t="s">
        <v>524</v>
      </c>
      <c r="B3" s="8" t="s">
        <v>525</v>
      </c>
      <c r="C3" s="8" t="s">
        <v>526</v>
      </c>
      <c r="D3" s="8" t="s">
        <v>527</v>
      </c>
      <c r="E3" s="8" t="s">
        <v>528</v>
      </c>
      <c r="F3" s="8" t="s">
        <v>529</v>
      </c>
    </row>
    <row r="4" customFormat="false" ht="27.75" hidden="false" customHeight="true" outlineLevel="0" collapsed="false">
      <c r="A4" s="4" t="s">
        <v>530</v>
      </c>
      <c r="B4" s="4" t="s">
        <v>531</v>
      </c>
      <c r="C4" s="4" t="s">
        <v>532</v>
      </c>
      <c r="D4" s="4" t="s">
        <v>49</v>
      </c>
      <c r="E4" s="4" t="s">
        <v>533</v>
      </c>
      <c r="F4" s="4" t="s">
        <v>534</v>
      </c>
    </row>
    <row r="5" customFormat="false" ht="27.75" hidden="false" customHeight="true" outlineLevel="0" collapsed="false">
      <c r="A5" s="4" t="s">
        <v>535</v>
      </c>
      <c r="B5" s="4" t="s">
        <v>536</v>
      </c>
      <c r="C5" s="4" t="s">
        <v>537</v>
      </c>
      <c r="D5" s="4" t="s">
        <v>538</v>
      </c>
      <c r="E5" s="4" t="s">
        <v>539</v>
      </c>
      <c r="F5" s="4" t="s">
        <v>540</v>
      </c>
    </row>
    <row r="6" customFormat="false" ht="27.75" hidden="false" customHeight="true" outlineLevel="0" collapsed="false">
      <c r="A6" s="4" t="s">
        <v>541</v>
      </c>
      <c r="B6" s="4" t="s">
        <v>542</v>
      </c>
      <c r="C6" s="4" t="s">
        <v>543</v>
      </c>
      <c r="D6" s="4" t="s">
        <v>544</v>
      </c>
      <c r="E6" s="4" t="s">
        <v>545</v>
      </c>
      <c r="F6" s="4" t="s">
        <v>546</v>
      </c>
    </row>
    <row r="7" customFormat="false" ht="15" hidden="false" customHeight="true" outlineLevel="0" collapsed="false">
      <c r="A7" s="4" t="s">
        <v>547</v>
      </c>
      <c r="B7" s="4" t="s">
        <v>548</v>
      </c>
      <c r="C7" s="4" t="s">
        <v>549</v>
      </c>
      <c r="D7" s="4" t="s">
        <v>550</v>
      </c>
      <c r="E7" s="4" t="s">
        <v>551</v>
      </c>
      <c r="F7" s="4" t="s">
        <v>552</v>
      </c>
    </row>
    <row r="8" customFormat="false" ht="27.75" hidden="false" customHeight="true" outlineLevel="0" collapsed="false">
      <c r="A8" s="4" t="s">
        <v>553</v>
      </c>
      <c r="B8" s="4" t="s">
        <v>554</v>
      </c>
      <c r="C8" s="4" t="s">
        <v>555</v>
      </c>
      <c r="D8" s="4" t="s">
        <v>556</v>
      </c>
      <c r="E8" s="4" t="s">
        <v>557</v>
      </c>
      <c r="F8" s="4" t="s">
        <v>558</v>
      </c>
    </row>
    <row r="9" customFormat="false" ht="27.75" hidden="false" customHeight="true" outlineLevel="0" collapsed="false">
      <c r="A9" s="4" t="s">
        <v>559</v>
      </c>
      <c r="B9" s="4" t="s">
        <v>560</v>
      </c>
      <c r="C9" s="4" t="s">
        <v>561</v>
      </c>
      <c r="D9" s="4" t="s">
        <v>562</v>
      </c>
      <c r="E9" s="4" t="s">
        <v>563</v>
      </c>
      <c r="F9" s="4" t="s">
        <v>564</v>
      </c>
    </row>
    <row r="10" customFormat="false" ht="27.75" hidden="false" customHeight="true" outlineLevel="0" collapsed="false">
      <c r="A10" s="4" t="s">
        <v>565</v>
      </c>
      <c r="B10" s="4" t="s">
        <v>566</v>
      </c>
      <c r="C10" s="4" t="s">
        <v>567</v>
      </c>
      <c r="D10" s="4" t="s">
        <v>568</v>
      </c>
      <c r="E10" s="4" t="s">
        <v>569</v>
      </c>
      <c r="F10" s="4" t="s">
        <v>570</v>
      </c>
    </row>
    <row r="11" customFormat="false" ht="27.75" hidden="false" customHeight="true" outlineLevel="0" collapsed="false">
      <c r="A11" s="4" t="s">
        <v>571</v>
      </c>
      <c r="B11" s="4" t="s">
        <v>566</v>
      </c>
      <c r="C11" s="4" t="s">
        <v>572</v>
      </c>
      <c r="D11" s="4" t="s">
        <v>573</v>
      </c>
      <c r="E11" s="4" t="s">
        <v>574</v>
      </c>
      <c r="F11" s="4" t="s">
        <v>302</v>
      </c>
    </row>
    <row r="12" customFormat="false" ht="27.75" hidden="false" customHeight="true" outlineLevel="0" collapsed="false">
      <c r="A12" s="4" t="s">
        <v>575</v>
      </c>
      <c r="B12" s="4" t="s">
        <v>560</v>
      </c>
      <c r="C12" s="4" t="s">
        <v>576</v>
      </c>
      <c r="D12" s="4" t="s">
        <v>577</v>
      </c>
      <c r="E12" s="4" t="s">
        <v>578</v>
      </c>
      <c r="F12" s="4" t="s">
        <v>319</v>
      </c>
    </row>
    <row r="13" customFormat="false" ht="15" hidden="false" customHeight="true" outlineLevel="0" collapsed="false">
      <c r="A13" s="4" t="s">
        <v>579</v>
      </c>
      <c r="B13" s="4" t="s">
        <v>566</v>
      </c>
      <c r="C13" s="4" t="s">
        <v>580</v>
      </c>
      <c r="D13" s="4" t="s">
        <v>581</v>
      </c>
      <c r="E13" s="4" t="s">
        <v>578</v>
      </c>
      <c r="F13" s="4" t="s">
        <v>319</v>
      </c>
    </row>
    <row r="14" customFormat="false" ht="27.75" hidden="false" customHeight="true" outlineLevel="0" collapsed="false">
      <c r="A14" s="4" t="s">
        <v>582</v>
      </c>
      <c r="B14" s="4" t="s">
        <v>583</v>
      </c>
      <c r="C14" s="4" t="s">
        <v>584</v>
      </c>
      <c r="D14" s="4" t="s">
        <v>585</v>
      </c>
      <c r="E14" s="4" t="s">
        <v>586</v>
      </c>
      <c r="F14" s="4" t="s">
        <v>587</v>
      </c>
    </row>
    <row r="15" customFormat="false" ht="15" hidden="false" customHeight="true" outlineLevel="0" collapsed="false">
      <c r="A15" s="4" t="s">
        <v>588</v>
      </c>
      <c r="B15" s="4" t="s">
        <v>589</v>
      </c>
      <c r="C15" s="4" t="s">
        <v>590</v>
      </c>
      <c r="D15" s="4" t="s">
        <v>591</v>
      </c>
      <c r="E15" s="4" t="s">
        <v>592</v>
      </c>
      <c r="F15" s="4" t="s">
        <v>587</v>
      </c>
    </row>
    <row r="16" customFormat="false" ht="27.75" hidden="false" customHeight="true" outlineLevel="0" collapsed="false">
      <c r="A16" s="4" t="s">
        <v>593</v>
      </c>
      <c r="B16" s="4" t="s">
        <v>542</v>
      </c>
      <c r="C16" s="4" t="s">
        <v>594</v>
      </c>
      <c r="D16" s="4" t="s">
        <v>595</v>
      </c>
      <c r="E16" s="4" t="s">
        <v>596</v>
      </c>
      <c r="F16" s="4" t="s">
        <v>587</v>
      </c>
    </row>
    <row r="17" customFormat="false" ht="27.75" hidden="false" customHeight="true" outlineLevel="0" collapsed="false">
      <c r="A17" s="4" t="s">
        <v>597</v>
      </c>
      <c r="B17" s="4" t="s">
        <v>598</v>
      </c>
      <c r="C17" s="4" t="s">
        <v>599</v>
      </c>
      <c r="D17" s="4" t="s">
        <v>600</v>
      </c>
      <c r="E17" s="4" t="s">
        <v>601</v>
      </c>
      <c r="F17" s="4" t="s">
        <v>333</v>
      </c>
    </row>
    <row r="18" customFormat="false" ht="27.75" hidden="false" customHeight="true" outlineLevel="0" collapsed="false">
      <c r="A18" s="4" t="s">
        <v>602</v>
      </c>
      <c r="B18" s="4" t="s">
        <v>603</v>
      </c>
      <c r="C18" s="4" t="s">
        <v>604</v>
      </c>
      <c r="D18" s="4" t="s">
        <v>605</v>
      </c>
      <c r="E18" s="4" t="s">
        <v>606</v>
      </c>
      <c r="F18" s="4" t="s">
        <v>607</v>
      </c>
    </row>
    <row r="19" customFormat="false" ht="15" hidden="false" customHeight="true" outlineLevel="0" collapsed="false">
      <c r="A19" s="4" t="s">
        <v>608</v>
      </c>
      <c r="B19" s="4" t="s">
        <v>609</v>
      </c>
      <c r="C19" s="4" t="s">
        <v>610</v>
      </c>
      <c r="D19" s="4" t="s">
        <v>611</v>
      </c>
      <c r="E19" s="4" t="s">
        <v>612</v>
      </c>
      <c r="F19" s="4" t="s">
        <v>613</v>
      </c>
    </row>
    <row r="20" customFormat="false" ht="27.75" hidden="false" customHeight="true" outlineLevel="0" collapsed="false">
      <c r="A20" s="4" t="s">
        <v>614</v>
      </c>
      <c r="B20" s="4" t="s">
        <v>615</v>
      </c>
      <c r="C20" s="4" t="s">
        <v>616</v>
      </c>
      <c r="D20" s="4" t="s">
        <v>617</v>
      </c>
      <c r="E20" s="4" t="s">
        <v>618</v>
      </c>
      <c r="F20" s="4" t="s">
        <v>619</v>
      </c>
    </row>
    <row r="21" customFormat="false" ht="15" hidden="false" customHeight="true" outlineLevel="0" collapsed="false">
      <c r="A21" s="4" t="s">
        <v>620</v>
      </c>
      <c r="B21" s="4" t="s">
        <v>621</v>
      </c>
      <c r="C21" s="4" t="s">
        <v>622</v>
      </c>
      <c r="D21" s="4" t="s">
        <v>623</v>
      </c>
      <c r="E21" s="4" t="s">
        <v>624</v>
      </c>
      <c r="F21" s="4" t="s">
        <v>390</v>
      </c>
    </row>
    <row r="22" customFormat="false" ht="27.75" hidden="false" customHeight="true" outlineLevel="0" collapsed="false">
      <c r="A22" s="4" t="s">
        <v>625</v>
      </c>
      <c r="B22" s="4" t="s">
        <v>626</v>
      </c>
      <c r="C22" s="4" t="s">
        <v>627</v>
      </c>
      <c r="D22" s="4" t="s">
        <v>628</v>
      </c>
      <c r="E22" s="4" t="s">
        <v>629</v>
      </c>
      <c r="F22" s="4" t="s">
        <v>630</v>
      </c>
    </row>
    <row r="23" customFormat="false" ht="27.75" hidden="false" customHeight="true" outlineLevel="0" collapsed="false">
      <c r="A23" s="4" t="s">
        <v>631</v>
      </c>
      <c r="B23" s="4" t="s">
        <v>632</v>
      </c>
      <c r="C23" s="4" t="s">
        <v>633</v>
      </c>
      <c r="D23" s="4" t="s">
        <v>634</v>
      </c>
      <c r="E23" s="4" t="s">
        <v>635</v>
      </c>
      <c r="F23" s="4" t="s">
        <v>636</v>
      </c>
    </row>
    <row r="24" customFormat="false" ht="15" hidden="false" customHeight="true" outlineLevel="0" collapsed="false">
      <c r="A24" s="4" t="s">
        <v>637</v>
      </c>
      <c r="B24" s="4" t="s">
        <v>638</v>
      </c>
      <c r="C24" s="4" t="s">
        <v>639</v>
      </c>
      <c r="D24" s="4" t="s">
        <v>640</v>
      </c>
      <c r="E24" s="4" t="s">
        <v>641</v>
      </c>
      <c r="F24" s="4" t="s">
        <v>642</v>
      </c>
    </row>
    <row r="25" customFormat="false" ht="27.75" hidden="false" customHeight="true" outlineLevel="0" collapsed="false">
      <c r="A25" s="4" t="s">
        <v>643</v>
      </c>
      <c r="B25" s="4" t="s">
        <v>560</v>
      </c>
      <c r="C25" s="4" t="s">
        <v>644</v>
      </c>
      <c r="D25" s="4" t="s">
        <v>645</v>
      </c>
      <c r="E25" s="4" t="s">
        <v>646</v>
      </c>
      <c r="F25" s="4" t="s">
        <v>239</v>
      </c>
    </row>
    <row r="26" customFormat="false" ht="27.75" hidden="false" customHeight="true" outlineLevel="0" collapsed="false">
      <c r="A26" s="4" t="s">
        <v>647</v>
      </c>
      <c r="B26" s="4" t="s">
        <v>566</v>
      </c>
      <c r="C26" s="4" t="s">
        <v>648</v>
      </c>
      <c r="D26" s="4" t="s">
        <v>649</v>
      </c>
      <c r="E26" s="4" t="s">
        <v>650</v>
      </c>
      <c r="F26" s="4" t="s">
        <v>651</v>
      </c>
    </row>
    <row r="27" customFormat="false" ht="15" hidden="false" customHeight="true" outlineLevel="0" collapsed="false">
      <c r="A27" s="4" t="s">
        <v>652</v>
      </c>
      <c r="B27" s="4" t="s">
        <v>548</v>
      </c>
      <c r="C27" s="4" t="s">
        <v>653</v>
      </c>
      <c r="D27" s="4" t="s">
        <v>654</v>
      </c>
      <c r="E27" s="4" t="s">
        <v>655</v>
      </c>
      <c r="F27" s="4" t="s">
        <v>656</v>
      </c>
    </row>
    <row r="28" customFormat="false" ht="15" hidden="false" customHeight="true" outlineLevel="0" collapsed="false">
      <c r="A28" s="4" t="s">
        <v>657</v>
      </c>
      <c r="B28" s="4" t="s">
        <v>548</v>
      </c>
      <c r="C28" s="4" t="s">
        <v>658</v>
      </c>
      <c r="D28" s="4" t="s">
        <v>659</v>
      </c>
      <c r="E28" s="4" t="s">
        <v>660</v>
      </c>
      <c r="F28" s="4" t="s">
        <v>552</v>
      </c>
    </row>
    <row r="29" customFormat="false" ht="27.75" hidden="false" customHeight="true" outlineLevel="0" collapsed="false">
      <c r="A29" s="4" t="s">
        <v>661</v>
      </c>
      <c r="B29" s="4" t="s">
        <v>662</v>
      </c>
      <c r="C29" s="4" t="s">
        <v>663</v>
      </c>
      <c r="D29" s="4" t="s">
        <v>664</v>
      </c>
      <c r="E29" s="4" t="s">
        <v>665</v>
      </c>
      <c r="F29" s="4" t="s">
        <v>613</v>
      </c>
    </row>
    <row r="30" customFormat="false" ht="27.75" hidden="false" customHeight="true" outlineLevel="0" collapsed="false">
      <c r="A30" s="4" t="s">
        <v>666</v>
      </c>
      <c r="B30" s="4" t="s">
        <v>560</v>
      </c>
      <c r="C30" s="4" t="s">
        <v>667</v>
      </c>
      <c r="D30" s="4" t="s">
        <v>668</v>
      </c>
      <c r="E30" s="4" t="s">
        <v>578</v>
      </c>
      <c r="F30" s="4" t="s">
        <v>319</v>
      </c>
    </row>
    <row r="31" customFormat="false" ht="41.25" hidden="false" customHeight="true" outlineLevel="0" collapsed="false">
      <c r="A31" s="4" t="s">
        <v>669</v>
      </c>
      <c r="B31" s="4" t="s">
        <v>598</v>
      </c>
      <c r="C31" s="4" t="s">
        <v>670</v>
      </c>
      <c r="D31" s="4" t="s">
        <v>671</v>
      </c>
      <c r="E31" s="4" t="s">
        <v>672</v>
      </c>
      <c r="F31" s="4" t="s">
        <v>333</v>
      </c>
    </row>
    <row r="32" customFormat="false" ht="27.75" hidden="false" customHeight="true" outlineLevel="0" collapsed="false">
      <c r="A32" s="4" t="s">
        <v>673</v>
      </c>
      <c r="B32" s="4" t="s">
        <v>548</v>
      </c>
      <c r="C32" s="4" t="s">
        <v>674</v>
      </c>
      <c r="D32" s="4" t="s">
        <v>675</v>
      </c>
      <c r="E32" s="4" t="s">
        <v>676</v>
      </c>
      <c r="F32" s="4" t="s">
        <v>677</v>
      </c>
    </row>
    <row r="33" customFormat="false" ht="27.75" hidden="false" customHeight="true" outlineLevel="0" collapsed="false">
      <c r="A33" s="4" t="s">
        <v>678</v>
      </c>
      <c r="B33" s="4" t="s">
        <v>548</v>
      </c>
      <c r="C33" s="4" t="s">
        <v>679</v>
      </c>
      <c r="D33" s="4" t="s">
        <v>680</v>
      </c>
      <c r="E33" s="4" t="s">
        <v>681</v>
      </c>
      <c r="F33" s="4" t="s">
        <v>682</v>
      </c>
    </row>
    <row r="34" customFormat="false" ht="15" hidden="false" customHeight="true" outlineLevel="0" collapsed="false">
      <c r="A34" s="4" t="s">
        <v>683</v>
      </c>
      <c r="B34" s="4" t="s">
        <v>548</v>
      </c>
      <c r="C34" s="4" t="s">
        <v>684</v>
      </c>
      <c r="D34" s="4" t="s">
        <v>685</v>
      </c>
      <c r="E34" s="4" t="s">
        <v>686</v>
      </c>
      <c r="F34" s="4" t="s">
        <v>677</v>
      </c>
    </row>
    <row r="35" customFormat="false" ht="15" hidden="false" customHeight="true" outlineLevel="0" collapsed="false">
      <c r="A35" s="4" t="s">
        <v>687</v>
      </c>
      <c r="B35" s="4" t="s">
        <v>626</v>
      </c>
      <c r="C35" s="4" t="s">
        <v>688</v>
      </c>
      <c r="D35" s="4" t="s">
        <v>689</v>
      </c>
      <c r="E35" s="4" t="s">
        <v>690</v>
      </c>
      <c r="F35" s="4" t="s">
        <v>387</v>
      </c>
    </row>
    <row r="36" customFormat="false" ht="15" hidden="false" customHeight="true" outlineLevel="0" collapsed="false">
      <c r="A36" s="4" t="s">
        <v>691</v>
      </c>
      <c r="B36" s="4" t="s">
        <v>626</v>
      </c>
      <c r="C36" s="4" t="s">
        <v>692</v>
      </c>
      <c r="D36" s="4" t="s">
        <v>693</v>
      </c>
      <c r="E36" s="4" t="s">
        <v>694</v>
      </c>
      <c r="F36" s="4" t="s">
        <v>387</v>
      </c>
    </row>
    <row r="37" customFormat="false" ht="15" hidden="false" customHeight="true" outlineLevel="0" collapsed="false">
      <c r="A37" s="4" t="s">
        <v>695</v>
      </c>
      <c r="B37" s="4" t="s">
        <v>696</v>
      </c>
      <c r="C37" s="4" t="s">
        <v>697</v>
      </c>
      <c r="D37" s="4" t="s">
        <v>698</v>
      </c>
      <c r="E37" s="4" t="s">
        <v>699</v>
      </c>
      <c r="F37" s="4" t="s">
        <v>390</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65"/>
    <col collapsed="false" customWidth="true" hidden="false" outlineLevel="0" max="4" min="4" style="1" width="22"/>
  </cols>
  <sheetData>
    <row r="1" customFormat="false" ht="27.75" hidden="false" customHeight="true" outlineLevel="0" collapsed="false">
      <c r="A1" s="2" t="s">
        <v>700</v>
      </c>
      <c r="B1" s="2"/>
      <c r="C1" s="2"/>
      <c r="D1" s="2"/>
      <c r="E1" s="2"/>
      <c r="F1" s="2"/>
      <c r="G1" s="2"/>
      <c r="H1" s="2"/>
      <c r="I1" s="2"/>
      <c r="J1" s="2"/>
      <c r="K1" s="2"/>
      <c r="L1" s="2"/>
      <c r="M1" s="2"/>
      <c r="N1" s="2"/>
    </row>
    <row r="3" customFormat="false" ht="15" hidden="false" customHeight="true" outlineLevel="0" collapsed="false">
      <c r="A3" s="8" t="s">
        <v>701</v>
      </c>
      <c r="B3" s="8" t="s">
        <v>42</v>
      </c>
      <c r="C3" s="8" t="s">
        <v>702</v>
      </c>
      <c r="D3" s="8" t="s">
        <v>3</v>
      </c>
    </row>
    <row r="4" customFormat="false" ht="15" hidden="false" customHeight="true" outlineLevel="0" collapsed="false">
      <c r="A4" s="31" t="s">
        <v>703</v>
      </c>
      <c r="B4" s="4" t="n">
        <v>18</v>
      </c>
      <c r="C4" s="4" t="s">
        <v>704</v>
      </c>
      <c r="D4" s="4" t="s">
        <v>705</v>
      </c>
    </row>
    <row r="5" customFormat="false" ht="27.75" hidden="false" customHeight="true" outlineLevel="0" collapsed="false">
      <c r="A5" s="31" t="s">
        <v>706</v>
      </c>
      <c r="B5" s="4" t="n">
        <v>5</v>
      </c>
      <c r="C5" s="4" t="s">
        <v>707</v>
      </c>
      <c r="D5" s="4" t="s">
        <v>705</v>
      </c>
    </row>
    <row r="6" customFormat="false" ht="15" hidden="false" customHeight="true" outlineLevel="0" collapsed="false">
      <c r="A6" s="31" t="s">
        <v>708</v>
      </c>
      <c r="B6" s="4" t="n">
        <v>9</v>
      </c>
      <c r="C6" s="4" t="s">
        <v>709</v>
      </c>
      <c r="D6" s="4" t="s">
        <v>705</v>
      </c>
    </row>
    <row r="7" customFormat="false" ht="15" hidden="false" customHeight="true" outlineLevel="0" collapsed="false">
      <c r="A7" s="31" t="s">
        <v>710</v>
      </c>
      <c r="B7" s="4" t="n">
        <v>16</v>
      </c>
      <c r="C7" s="4" t="s">
        <v>711</v>
      </c>
      <c r="D7" s="4" t="s">
        <v>705</v>
      </c>
    </row>
    <row r="8" customFormat="false" ht="15" hidden="false" customHeight="true" outlineLevel="0" collapsed="false">
      <c r="A8" s="31" t="s">
        <v>712</v>
      </c>
      <c r="B8" s="10" t="n">
        <v>14200000</v>
      </c>
      <c r="C8" s="4" t="s">
        <v>713</v>
      </c>
      <c r="D8" s="4" t="s">
        <v>714</v>
      </c>
    </row>
    <row r="9" customFormat="false" ht="15" hidden="false" customHeight="true" outlineLevel="0" collapsed="false">
      <c r="A9" s="31" t="s">
        <v>715</v>
      </c>
      <c r="B9" s="4" t="n">
        <v>9</v>
      </c>
      <c r="C9" s="4" t="s">
        <v>716</v>
      </c>
      <c r="D9" s="4" t="s">
        <v>717</v>
      </c>
    </row>
    <row r="10" customFormat="false" ht="15" hidden="false" customHeight="true" outlineLevel="0" collapsed="false">
      <c r="A10" s="6" t="s">
        <v>718</v>
      </c>
      <c r="B10" s="1" t="s">
        <v>719</v>
      </c>
      <c r="C10" s="1" t="s">
        <v>720</v>
      </c>
      <c r="D10" s="1" t="s">
        <v>721</v>
      </c>
    </row>
    <row r="11" customFormat="false" ht="15" hidden="false" customHeight="true" outlineLevel="0" collapsed="false">
      <c r="A11" s="6" t="s">
        <v>722</v>
      </c>
      <c r="B11" s="1" t="s">
        <v>723</v>
      </c>
      <c r="C11" s="1" t="s">
        <v>724</v>
      </c>
      <c r="D11" s="1" t="s">
        <v>721</v>
      </c>
    </row>
    <row r="12" customFormat="false" ht="15" hidden="false" customHeight="true" outlineLevel="0" collapsed="false">
      <c r="A12" s="8" t="s">
        <v>725</v>
      </c>
      <c r="B12" s="8" t="s">
        <v>726</v>
      </c>
    </row>
    <row r="13" customFormat="false" ht="15" hidden="false" customHeight="true" outlineLevel="0" collapsed="false">
      <c r="A13" s="4" t="s">
        <v>727</v>
      </c>
      <c r="B13" s="10" t="n">
        <f aca="false">'Outcome Scenarios'!R4</f>
        <v>58830220</v>
      </c>
    </row>
    <row r="14" customFormat="false" ht="15" hidden="false" customHeight="true" outlineLevel="0" collapsed="false">
      <c r="A14" s="4" t="s">
        <v>728</v>
      </c>
      <c r="B14" s="10" t="n">
        <f aca="false">'Outcome Scenarios'!R5</f>
        <v>170627150</v>
      </c>
    </row>
    <row r="15" customFormat="false" ht="27.75" hidden="false" customHeight="true" outlineLevel="0" collapsed="false">
      <c r="A15" s="4" t="s">
        <v>729</v>
      </c>
      <c r="B15" s="10" t="n">
        <f aca="false">'Outcome Scenarios'!R6</f>
        <v>40542188</v>
      </c>
    </row>
    <row r="16" customFormat="false" ht="27.75" hidden="false" customHeight="true" outlineLevel="0" collapsed="false">
      <c r="A16" s="4" t="s">
        <v>730</v>
      </c>
      <c r="B16" s="10" t="n">
        <f aca="false">'Outcome Scenarios'!R7</f>
        <v>212563870</v>
      </c>
    </row>
    <row r="17" customFormat="false" ht="27.75" hidden="false" customHeight="true" outlineLevel="0" collapsed="false">
      <c r="A17" s="4" t="s">
        <v>731</v>
      </c>
      <c r="B17" s="10" t="n">
        <f aca="false">'Outcome Scenarios'!R8</f>
        <v>70896290</v>
      </c>
    </row>
    <row r="18" customFormat="false" ht="15" hidden="false" customHeight="true" outlineLevel="0" collapsed="false">
      <c r="A18" s="4" t="s">
        <v>732</v>
      </c>
      <c r="B18" s="10" t="n">
        <f aca="false">'Outcome Scenarios'!R9</f>
        <v>45887344</v>
      </c>
    </row>
    <row r="19" customFormat="false" ht="15" hidden="false" customHeight="true" outlineLevel="0" collapsed="false">
      <c r="A19" s="4" t="s">
        <v>733</v>
      </c>
      <c r="B19" s="10" t="n">
        <f aca="false">'Outcome Scenarios'!R10</f>
        <v>209377150</v>
      </c>
    </row>
    <row r="20" customFormat="false" ht="27.75" hidden="false" customHeight="true" outlineLevel="0" collapsed="false">
      <c r="A20" s="4" t="s">
        <v>734</v>
      </c>
      <c r="B20" s="10" t="n">
        <f aca="false">'Outcome Scenarios'!R11</f>
        <v>230888920</v>
      </c>
    </row>
    <row r="21" customFormat="false" ht="15" hidden="false" customHeight="true" outlineLevel="0" collapsed="false">
      <c r="A21" s="4" t="s">
        <v>735</v>
      </c>
      <c r="B21" s="10" t="n">
        <f aca="false">'Outcome Scenarios'!R12</f>
        <v>82907784</v>
      </c>
    </row>
    <row r="22" customFormat="false" ht="27.75" hidden="false" customHeight="true" outlineLevel="0" collapsed="false">
      <c r="A22" s="4" t="s">
        <v>736</v>
      </c>
      <c r="B22" s="10" t="n">
        <f aca="false">'Outcome Scenarios'!R13</f>
        <v>267952200</v>
      </c>
    </row>
    <row r="23" customFormat="false" ht="15" hidden="false" customHeight="true" outlineLevel="0" collapsed="false">
      <c r="A23" s="4" t="s">
        <v>737</v>
      </c>
      <c r="B23" s="10" t="n">
        <f aca="false">'Outcome Scenarios'!R14</f>
        <v>803856600</v>
      </c>
    </row>
    <row r="24" customFormat="false" ht="27.75" hidden="false" customHeight="true" outlineLevel="0" collapsed="false">
      <c r="A24" s="4" t="s">
        <v>738</v>
      </c>
      <c r="B24" s="10" t="n">
        <f aca="false">'Outcome Scenarios'!R15</f>
        <v>219829300</v>
      </c>
    </row>
    <row r="25" customFormat="false" ht="27.75" hidden="false" customHeight="true" outlineLevel="0" collapsed="false">
      <c r="A25" s="4" t="s">
        <v>739</v>
      </c>
      <c r="B25" s="10" t="n">
        <f aca="false">'Outcome Scenarios'!R16</f>
        <v>48105860</v>
      </c>
    </row>
    <row r="26" customFormat="false" ht="15" hidden="false" customHeight="true" outlineLevel="0" collapsed="false">
      <c r="A26" s="4" t="s">
        <v>740</v>
      </c>
      <c r="B26" s="10" t="n">
        <f aca="false">'Outcome Scenarios'!R17</f>
        <v>136493060</v>
      </c>
    </row>
    <row r="27" customFormat="false" ht="27.75" hidden="false" customHeight="true" outlineLevel="0" collapsed="false">
      <c r="A27" s="4" t="s">
        <v>741</v>
      </c>
      <c r="B27" s="10" t="n">
        <f aca="false">'Outcome Scenarios'!R18</f>
        <v>79281960</v>
      </c>
    </row>
    <row r="28" customFormat="false" ht="27.75" hidden="false" customHeight="true" outlineLevel="0" collapsed="false">
      <c r="A28" s="4" t="s">
        <v>742</v>
      </c>
      <c r="B28" s="10" t="n">
        <f aca="false">'Outcome Scenarios'!R19</f>
        <v>624030500</v>
      </c>
    </row>
    <row r="29" customFormat="false" ht="15" hidden="false" customHeight="true" outlineLevel="0" collapsed="false">
      <c r="A29" s="1" t="s">
        <v>743</v>
      </c>
      <c r="B29" s="19" t="n">
        <f aca="false">'Outcome Scenarios'!R20</f>
        <v>14103278400</v>
      </c>
    </row>
    <row r="30" customFormat="false" ht="15" hidden="false" customHeight="true" outlineLevel="0" collapsed="false">
      <c r="A30" s="1" t="s">
        <v>744</v>
      </c>
      <c r="B30" s="19" t="n">
        <f aca="false">'Outcome Scenarios'!R21</f>
        <v>8507674000</v>
      </c>
    </row>
    <row r="32" customFormat="false" ht="27.75" hidden="false" customHeight="true" outlineLevel="0" collapsed="false">
      <c r="A32" s="43" t="s">
        <v>57</v>
      </c>
      <c r="B32" s="44" t="s">
        <v>745</v>
      </c>
    </row>
    <row r="33" customFormat="false" ht="15" hidden="false" customHeight="true" outlineLevel="0" collapsed="false">
      <c r="A33" s="1" t="s">
        <v>376</v>
      </c>
      <c r="B33" s="45" t="n">
        <f aca="false">SUMIFS('Consequence Targets'!$V$4:$V$48,'Consequence Targets'!$A$4:$A$48,$A33,'Consequence Targets'!$B$4:$B$48,"3 days")</f>
        <v>126425000</v>
      </c>
    </row>
    <row r="34" customFormat="false" ht="15" hidden="false" customHeight="true" outlineLevel="0" collapsed="false">
      <c r="A34" s="6" t="s">
        <v>746</v>
      </c>
      <c r="B34" s="45" t="s">
        <v>747</v>
      </c>
    </row>
    <row r="35" customFormat="false" ht="15" hidden="false" customHeight="true" outlineLevel="0" collapsed="false">
      <c r="A35" s="6" t="s">
        <v>748</v>
      </c>
      <c r="B35" s="45" t="s">
        <v>749</v>
      </c>
    </row>
    <row r="36" customFormat="false" ht="15" hidden="false" customHeight="true" outlineLevel="0" collapsed="false">
      <c r="A36" s="1" t="s">
        <v>387</v>
      </c>
      <c r="B36" s="45" t="n">
        <f aca="false">SUMIFS('Consequence Targets'!$V$4:$V$48,'Consequence Targets'!$A$4:$A$48,$A36,'Consequence Targets'!$B$4:$B$48,"3 days")</f>
        <v>462540000</v>
      </c>
    </row>
    <row r="37" customFormat="false" ht="15" hidden="false" customHeight="true" outlineLevel="0" collapsed="false">
      <c r="A37" s="1" t="s">
        <v>390</v>
      </c>
      <c r="B37" s="45" t="n">
        <f aca="false">SUMIFS('Consequence Targets'!$V$4:$V$48,'Consequence Targets'!$A$4:$A$48,$A37,'Consequence Targets'!$B$4:$B$48,"3 days")</f>
        <v>96470000</v>
      </c>
    </row>
    <row r="40" customFormat="false" ht="15" hidden="false" customHeight="true" outlineLevel="0" collapsed="false">
      <c r="A40" s="46" t="s">
        <v>750</v>
      </c>
      <c r="B40" s="46"/>
      <c r="C40" s="46"/>
      <c r="D40" s="46"/>
      <c r="E40" s="46"/>
      <c r="F40" s="46"/>
      <c r="G40" s="46"/>
      <c r="H40" s="46"/>
      <c r="I40" s="46"/>
      <c r="J40" s="46"/>
      <c r="K40" s="46"/>
      <c r="L40" s="46"/>
      <c r="M40" s="46"/>
      <c r="N40" s="46"/>
    </row>
    <row r="41" customFormat="false" ht="15" hidden="false" customHeight="true" outlineLevel="0" collapsed="false">
      <c r="A41" s="46"/>
      <c r="B41" s="46"/>
      <c r="C41" s="46"/>
      <c r="D41" s="46"/>
      <c r="E41" s="46"/>
      <c r="F41" s="46"/>
      <c r="G41" s="46"/>
      <c r="H41" s="46"/>
      <c r="I41" s="46"/>
      <c r="J41" s="46"/>
      <c r="K41" s="46"/>
      <c r="L41" s="46"/>
      <c r="M41" s="46"/>
      <c r="N41" s="46"/>
    </row>
    <row r="42" customFormat="false" ht="15" hidden="false" customHeight="true" outlineLevel="0" collapsed="false">
      <c r="A42" s="46"/>
      <c r="B42" s="46"/>
      <c r="C42" s="46"/>
      <c r="D42" s="46"/>
      <c r="E42" s="46"/>
      <c r="F42" s="46"/>
      <c r="G42" s="46"/>
      <c r="H42" s="46"/>
      <c r="I42" s="46"/>
      <c r="J42" s="46"/>
      <c r="K42" s="46"/>
      <c r="L42" s="46"/>
      <c r="M42" s="46"/>
      <c r="N42" s="46"/>
    </row>
    <row r="43" customFormat="false" ht="15" hidden="false" customHeight="true" outlineLevel="0" collapsed="false">
      <c r="A43" s="46"/>
      <c r="B43" s="46"/>
      <c r="C43" s="46"/>
      <c r="D43" s="46"/>
      <c r="E43" s="46"/>
      <c r="F43" s="46"/>
      <c r="G43" s="46"/>
      <c r="H43" s="46"/>
      <c r="I43" s="46"/>
      <c r="J43" s="46"/>
      <c r="K43" s="46"/>
      <c r="L43" s="46"/>
      <c r="M43" s="46"/>
      <c r="N43" s="46"/>
    </row>
  </sheetData>
  <mergeCells count="2">
    <mergeCell ref="A1:N1"/>
    <mergeCell ref="A40:N4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2026-07-13T22:33:17Z</dcterms:created>
  <dc:creator>openpyxl</dc:creator>
  <dc:description/>
  <dc:language>en-US</dc:language>
  <cp:lastModifiedBy/>
  <dcterms:modified xsi:type="dcterms:W3CDTF">2026-08-04T14:11:14Z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