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CIDENTS" sheetId="2" state="visible" r:id="rId4"/>
    <sheet name="DEPENDENCIES" sheetId="3" state="visible" r:id="rId5"/>
    <sheet name="SCENARIOS" sheetId="4" state="visible" r:id="rId6"/>
    <sheet name="INDICATORS" sheetId="5" state="visible" r:id="rId7"/>
    <sheet name="RECOMMENDATIONS" sheetId="6" state="visible" r:id="rId8"/>
    <sheet name="PROBABILITIES" sheetId="7" state="visible" r:id="rId9"/>
    <sheet name="SUMMARY" sheetId="8" state="visible" r:id="rId10"/>
  </sheets>
  <definedNames>
    <definedName function="false" hidden="true" localSheetId="2" name="_xlnm._FilterDatabase" vbProcedure="false">DEPENDENCIES!$A$4:$G$10</definedName>
    <definedName function="false" hidden="true" localSheetId="1" name="_xlnm._FilterDatabase" vbProcedure="false">INCIDENTS!$A$4:$G$14</definedName>
    <definedName function="false" hidden="true" localSheetId="4" name="_xlnm._FilterDatabase" vbProcedure="false">INDICATORS!$A$4:$G$24</definedName>
    <definedName function="false" hidden="true" localSheetId="6" name="_xlnm._FilterDatabase" vbProcedure="false">PROBABILITIES!$A$4:$G$14</definedName>
    <definedName function="false" hidden="true" localSheetId="5" name="_xlnm._FilterDatabase" vbProcedure="false">RECOMMENDATIONS!$A$4:$G$25</definedName>
    <definedName function="false" hidden="true" localSheetId="3" name="_xlnm._FilterDatabase" vbProcedure="false">SCENARIOS!$A$4:$N$10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<sst xmlns="http://schemas.openxmlformats.org/spreadsheetml/2006/main" count="664" uniqueCount="521">
  <si>
    <t xml:space="preserve">U.S. Transportation Security Implications of the 2026 Water-Sector Cyberattacks</t>
  </si>
  <si>
    <t xml:space="preserve">Machine-readable companion workbook</t>
  </si>
  <si>
    <t xml:space="preserve">OPEN-SOURCE ANALYSIS — NOT AN OFFICIAL U.S. GOVERNMENT PRODUCT</t>
  </si>
  <si>
    <t xml:space="preserve">Purpose</t>
  </si>
  <si>
    <t xml:space="preserve">Structured, filterable companion to the narrative assessment. Contains the incident chronology, mode dependencies, scenarios, indicators, recommended actions, and probability judgments as data rather than prose.</t>
  </si>
  <si>
    <t xml:space="preserve">Information cutoff</t>
  </si>
  <si>
    <t xml:space="preserve">2 August 2026, 6:00 p.m. Eastern Daylight Time. The incident is ongoing; affected-entity counts are a floor, not a total.</t>
  </si>
  <si>
    <t xml:space="preserve">Standing</t>
  </si>
  <si>
    <t xml:space="preserve">Independent open-source analysis. Not produced by, reviewed by, coordinated with, or approved by TSA, DHS, or any federal agency, and not representing any agency position. Nothing here is classified, sensitive security information, or for official use only.</t>
  </si>
  <si>
    <t xml:space="preserve">How to use</t>
  </si>
  <si>
    <t xml:space="preserve">Each tab has a filterable header row (row 4) and frozen panes. Sort or filter to build working lists. Replace analyst-assigned values with your own facility-specific and agency-approved values before using any of it for an operational decision.</t>
  </si>
  <si>
    <t xml:space="preserve">Sheet: INCIDENTS</t>
  </si>
  <si>
    <t xml:space="preserve">Chronology with attribution status and evidence class. Filter Evidence_Class to separate confirmed facts from reported and claimed material.</t>
  </si>
  <si>
    <t xml:space="preserve">Sheet: DEPENDENCIES</t>
  </si>
  <si>
    <t xml:space="preserve">Mode-by-mode water dependence, controller exposure, likely effect, and the threshold that would force an operational restriction.</t>
  </si>
  <si>
    <t xml:space="preserve">Sheet: SCENARIOS</t>
  </si>
  <si>
    <t xml:space="preserve">Six scenarios with effects across five time horizons and low/base/high consequence bands.</t>
  </si>
  <si>
    <t xml:space="preserve">Sheet: INDICATORS</t>
  </si>
  <si>
    <t xml:space="preserve">Leading, concurrent, and lagging indicators with lead time, source, false-positive risk, and the decision each informs.</t>
  </si>
  <si>
    <t xml:space="preserve">Sheet: RECOMMENDATIONS</t>
  </si>
  <si>
    <t xml:space="preserve">Actions by time horizon with lead entity, authority basis, supporting entities, expected benefit, and principal constraint. Filter Authority_Basis to separate what can be directed from what can only be requested - TSA security-directive authority covers designated pipeline and rail owner-operators; other modes are voluntary, and no transportation-security instrument reaches municipal water utilities.</t>
  </si>
  <si>
    <t xml:space="preserve">Sheet: PROBABILITIES</t>
  </si>
  <si>
    <t xml:space="preserve">Probability judgments with numeric bands, time horizon, and basis.</t>
  </si>
  <si>
    <t xml:space="preserve">Sheet: SUMMARY</t>
  </si>
  <si>
    <t xml:space="preserve">Counts computed by formula from the other sheets. Recalculates if rows are added or edited.</t>
  </si>
  <si>
    <t xml:space="preserve">PROVENANCE — read this</t>
  </si>
  <si>
    <t xml:space="preserve">Every ordinal rating, consequence band, probability, and threshold in this workbook is an ANALYST-ASSIGNED judgment. None is a published government estimate, a base-rate dataset, or a model output. The Provenance column on each sheet states this per row where it applies.</t>
  </si>
  <si>
    <t xml:space="preserve">Ordinal values</t>
  </si>
  <si>
    <t xml:space="preserve">Ratings such as low / moderate / high / very high are RANKS, not measurements. The interval between them is undefined. Do not average them, sum them, or combine them into a composite score. No such score exists in this workbook by design.</t>
  </si>
  <si>
    <t xml:space="preserve">Probability values</t>
  </si>
  <si>
    <t xml:space="preserve">Bands follow Intelligence Community convention: almost no chance 1-5%, very unlikely 5-20%, unlikely 20-45%, roughly even chance 45-55%, likely 55-80%, very likely 80-95%, almost certain 95-99%. The judgments are conditionally dependent and MUST NOT be multiplied together to derive a compound probability.</t>
  </si>
  <si>
    <t xml:space="preserve">Signature caution</t>
  </si>
  <si>
    <t xml:space="preserve">Covert project-file manipulation is reported in BOTH the July water-sector activity and the attributed Iranian campaign. Operational signature therefore cannot discriminate between actor groups, and the absence of an obvious lockout at a facility is not evidence that the facility is unaffected.</t>
  </si>
  <si>
    <t xml:space="preserve">Evidence classes</t>
  </si>
  <si>
    <t xml:space="preserve">Confirmed = stated in a published federal, state, or operator document. Reported = journalism citing officials whose assessment is not published. Claimed = threat-actor assertion, unverified. Analogue = a prior non-cyber event cited only to calibrate consequence.</t>
  </si>
  <si>
    <t xml:space="preserve">Confidence vs probability</t>
  </si>
  <si>
    <t xml:space="preserve">Confidence describes how much weight the evidence and reasoning can bear. Probability describes how likely an outcome is. A high-confidence judgment that something is unlikely is coherent.</t>
  </si>
  <si>
    <t xml:space="preserve">Primary sources</t>
  </si>
  <si>
    <t xml:space="preserve">FBI/EPA PSA I-073026-PSA, 30 Jul 2026 — https://www.ic3.gov/PSA/2026/PSA260730.pdf</t>
  </si>
  <si>
    <t xml:space="preserve">CISA alert, 30 Jul 2026 — https://www.cisa.gov/news-events/alerts/2026/07/30/cisa-urges-water-and-wastewater-systems-sector-protect-ot-against-activity-targeting-plcs</t>
  </si>
  <si>
    <t xml:space="preserve">Joint Advisory AA26-097A, 7 Apr 2026 updated 22 Jul 2026 — https://www.ic3.gov/CSA/2026/260722.pdf</t>
  </si>
  <si>
    <t xml:space="preserve">Minnesota IT Services, 28 Jul 2026 — https://mn.gov/mnit/media/blog/?id=38-761869</t>
  </si>
  <si>
    <t xml:space="preserve">Full citations, including journalism and consequence analogues, appear in Appendix C of the narrative assessment.</t>
  </si>
  <si>
    <t xml:space="preserve">Incident chronology</t>
  </si>
  <si>
    <t xml:space="preserve">Independent open-source analysis — NOT an official U.S. government product. Information cutoff 2 August 2026.</t>
  </si>
  <si>
    <t xml:space="preserve">Date_2026</t>
  </si>
  <si>
    <t xml:space="preserve">Location</t>
  </si>
  <si>
    <t xml:space="preserve">Affected_Function</t>
  </si>
  <si>
    <t xml:space="preserve">Reported_Effect</t>
  </si>
  <si>
    <t xml:space="preserve">Attribution_Status</t>
  </si>
  <si>
    <t xml:space="preserve">Evidence_Class</t>
  </si>
  <si>
    <t xml:space="preserve">Source_Endnote</t>
  </si>
  <si>
    <t xml:space="preserve">7 Apr</t>
  </si>
  <si>
    <t xml:space="preserve">Multiple U.S. sectors</t>
  </si>
  <si>
    <t xml:space="preserve">Internet-connected controllers across government facilities, water, energy</t>
  </si>
  <si>
    <t xml:space="preserve">Project-file manipulation, operator-display manipulation, operational disruption, financial loss</t>
  </si>
  <si>
    <t xml:space="preserve">Attributed by seven agencies to Iranian-affiliated APT actors</t>
  </si>
  <si>
    <t xml:space="preserve">Confirmed</t>
  </si>
  <si>
    <t xml:space="preserve">3, 5</t>
  </si>
  <si>
    <t xml:space="preserve">22 Jul</t>
  </si>
  <si>
    <t xml:space="preserve">Scope expanded to Schneider Electric and Siemens controllers; project-file theft documented</t>
  </si>
  <si>
    <t xml:space="preserve">Controller logic modified; shutdown and alarm logic disabled, permitting unsafe conditions without operator notification</t>
  </si>
  <si>
    <t xml:space="preserve">Same attribution; Treasury added as co-author</t>
  </si>
  <si>
    <t xml:space="preserve">3, 4</t>
  </si>
  <si>
    <t xml:space="preserve">23 Jul</t>
  </si>
  <si>
    <t xml:space="preserve">Maryland (claimed)</t>
  </si>
  <si>
    <t xml:space="preserve">State operational technology (claimed)</t>
  </si>
  <si>
    <t xml:space="preserve">None verified</t>
  </si>
  <si>
    <t xml:space="preserve">Claimed by Iran-linked group Handala; stated water, electricity, transportation would be future targets</t>
  </si>
  <si>
    <t xml:space="preserve">Claimed</t>
  </si>
  <si>
    <t xml:space="preserve">14</t>
  </si>
  <si>
    <t xml:space="preserve">26-27 Jul</t>
  </si>
  <si>
    <t xml:space="preserve">Minnesota</t>
  </si>
  <si>
    <t xml:space="preserve">Operational technology at more than 30 community water systems</t>
  </si>
  <si>
    <t xml:space="preserve">One plant briefly offline; automated controls affected; four cities disclosed; impacts described as limited or mitigated</t>
  </si>
  <si>
    <t xml:space="preserve">No actor named by state or federal authorities</t>
  </si>
  <si>
    <t xml:space="preserve">6</t>
  </si>
  <si>
    <t xml:space="preserve">26 Jul</t>
  </si>
  <si>
    <t xml:space="preserve">London Gatwick Airport</t>
  </si>
  <si>
    <t xml:space="preserve">Airport potable water and sanitation, both terminals</t>
  </si>
  <si>
    <t xml:space="preserve">Post-security toilets and food outlets closed; bottled water distributed; flights operated as scheduled</t>
  </si>
  <si>
    <t xml:space="preserve">Not applicable - treatment-plant power failure, no cyber nexus</t>
  </si>
  <si>
    <t xml:space="preserve">Analogue</t>
  </si>
  <si>
    <t xml:space="preserve">21</t>
  </si>
  <si>
    <t xml:space="preserve">27 Jul onward</t>
  </si>
  <si>
    <t xml:space="preserve">At least seven states</t>
  </si>
  <si>
    <t xml:space="preserve">Internet-facing Rockwell MicroLogix 1100 and 1400 controllers</t>
  </si>
  <si>
    <t xml:space="preserve">Changed addresses and passwords; loss of monitoring and control; pressure loss; flooding; modified project files at one organization</t>
  </si>
  <si>
    <t xml:space="preserve">None - 'malicious cyber actors'</t>
  </si>
  <si>
    <t xml:space="preserve">1</t>
  </si>
  <si>
    <t xml:space="preserve">28 Jul</t>
  </si>
  <si>
    <t xml:space="preserve">Statewide response activation</t>
  </si>
  <si>
    <t xml:space="preserve">Health department reported no requests to residents to change water use</t>
  </si>
  <si>
    <t xml:space="preserve">None named</t>
  </si>
  <si>
    <t xml:space="preserve">30 Jul</t>
  </si>
  <si>
    <t xml:space="preserve">National</t>
  </si>
  <si>
    <t xml:space="preserve">Water and wastewater sector controllers generally</t>
  </si>
  <si>
    <t xml:space="preserve">Boil-water notices and sustained manual operations; targeting includes undocumented cellular modems</t>
  </si>
  <si>
    <t xml:space="preserve">2</t>
  </si>
  <si>
    <t xml:space="preserve">30-31 Jul</t>
  </si>
  <si>
    <t xml:space="preserve">Minnesota, Michigan, others unnamed</t>
  </si>
  <si>
    <t xml:space="preserve">Water and wastewater operations</t>
  </si>
  <si>
    <t xml:space="preserve">Operational degradation in some cases; no contamination reported</t>
  </si>
  <si>
    <t xml:space="preserve">Press reports intelligence assessment Iran likely responsible for Minnesota; not definitively concluded</t>
  </si>
  <si>
    <t xml:space="preserve">Reported</t>
  </si>
  <si>
    <t xml:space="preserve">10, 11, 12</t>
  </si>
  <si>
    <t xml:space="preserve">1 Aug</t>
  </si>
  <si>
    <t xml:space="preserve">Seven-state scope confirmed publicly</t>
  </si>
  <si>
    <t xml:space="preserve">No indication any water supply is unsafe to drink</t>
  </si>
  <si>
    <t xml:space="preserve">Attribution unresolved in public sources</t>
  </si>
  <si>
    <t xml:space="preserve">9, 13</t>
  </si>
  <si>
    <t xml:space="preserve">Note: Evidence_Class governs how each row may be used. 'Analogue' rows have no cyber nexus and appear only to calibrate consequence estimates.</t>
  </si>
  <si>
    <t xml:space="preserve">Mode-by-mode dependency and consequence matrix</t>
  </si>
  <si>
    <t xml:space="preserve">Mode</t>
  </si>
  <si>
    <t xml:space="preserve">Potable_Sanitation_Dependence</t>
  </si>
  <si>
    <t xml:space="preserve">Fire_Suppression_Dependence</t>
  </si>
  <si>
    <t xml:space="preserve">Direct_Controller_Exposure</t>
  </si>
  <si>
    <t xml:space="preserve">Most_Likely_Operational_Effect</t>
  </si>
  <si>
    <t xml:space="preserve">Threshold_Forcing_Restriction</t>
  </si>
  <si>
    <t xml:space="preserve">Provenance</t>
  </si>
  <si>
    <t xml:space="preserve">Aviation</t>
  </si>
  <si>
    <t xml:space="preserve">High</t>
  </si>
  <si>
    <t xml:space="preserve">Moderate</t>
  </si>
  <si>
    <t xml:space="preserve">Restroom and concession closure; bottled-water contingency; flights continue</t>
  </si>
  <si>
    <t xml:space="preserve">Fire-protection impairment, or wastewater failure across all terminals with no portable substitution</t>
  </si>
  <si>
    <t xml:space="preserve">Analyst-assigned; effect calibrated against observed cases</t>
  </si>
  <si>
    <t xml:space="preserve">Maritime and ports</t>
  </si>
  <si>
    <t xml:space="preserve">Very high</t>
  </si>
  <si>
    <t xml:space="preserve">Cargo-handling restriction; berth and gate congestion</t>
  </si>
  <si>
    <t xml:space="preserve">Fire-flow inadequacy at a facility handling hazardous or bulk liquid cargo</t>
  </si>
  <si>
    <t xml:space="preserve">Analyst-assigned</t>
  </si>
  <si>
    <t xml:space="preserve">Rail and transit</t>
  </si>
  <si>
    <t xml:space="preserve">Station closures; tunnel speed restrictions if drainage degrades</t>
  </si>
  <si>
    <t xml:space="preserve">Tunnel water accumulation, or standpipe pressure loss in an underground station</t>
  </si>
  <si>
    <t xml:space="preserve">Highway and motor carrier</t>
  </si>
  <si>
    <t xml:space="preserve">Low at roadway, high at support facilities</t>
  </si>
  <si>
    <t xml:space="preserve">Rest-area and truck-stop sanitation loss; parking displacement</t>
  </si>
  <si>
    <t xml:space="preserve">Tunnel ventilation or drainage failure; loss of fire flow for incident response</t>
  </si>
  <si>
    <t xml:space="preserve">Pipeline</t>
  </si>
  <si>
    <t xml:space="preserve">Low</t>
  </si>
  <si>
    <t xml:space="preserve">Reduced throughput or precautionary shutdown</t>
  </si>
  <si>
    <t xml:space="preserve">Fire-protection impairment at a station or terminal; loss of confidence in control data</t>
  </si>
  <si>
    <t xml:space="preserve">Intermodal and logistics</t>
  </si>
  <si>
    <t xml:space="preserve">Shift reduction or facility closure; cold-chain disposition decisions</t>
  </si>
  <si>
    <t xml:space="preserve">Occupational sanitation requirements unmet; food-handling boil protocol</t>
  </si>
  <si>
    <t xml:space="preserve">Note: Dependence and exposure values are ORDINAL RANKS describing a typical facility in each mode. They are not measurements and must not be averaged or combined. A facility with dedicated fire-water storage or an on-site well may fall entirely outside its mode profile. IMPORTANT: the fire-suppression column sorts facilities into two tiers rather than describing a mode uniformly - it applies to facilities drawing fire water from the municipal main and largely does not apply to those with dedicated storage or independent pumps. Establish which tier a facility occupies before applying its mode profile. Threshold values assume a sustained loss; brief interruptions rarely reach them.</t>
  </si>
  <si>
    <t xml:space="preserve">Scenario framework with time horizons and consequence bands</t>
  </si>
  <si>
    <t xml:space="preserve">ID</t>
  </si>
  <si>
    <t xml:space="preserve">Scenario</t>
  </si>
  <si>
    <t xml:space="preserve">Duration</t>
  </si>
  <si>
    <t xml:space="preserve">Geography</t>
  </si>
  <si>
    <t xml:space="preserve">H_0_6h</t>
  </si>
  <si>
    <t xml:space="preserve">H_6_24h</t>
  </si>
  <si>
    <t xml:space="preserve">H_24_72h</t>
  </si>
  <si>
    <t xml:space="preserve">H_3_14d</t>
  </si>
  <si>
    <t xml:space="preserve">H_15_90d</t>
  </si>
  <si>
    <t xml:space="preserve">Consequence_Low</t>
  </si>
  <si>
    <t xml:space="preserve">Consequence_Base</t>
  </si>
  <si>
    <t xml:space="preserve">Consequence_High</t>
  </si>
  <si>
    <t xml:space="preserve">Confidence</t>
  </si>
  <si>
    <t xml:space="preserve">Key_Uncertainty</t>
  </si>
  <si>
    <t xml:space="preserve">S1</t>
  </si>
  <si>
    <t xml:space="preserve">Localized utility disruption near one transportation node</t>
  </si>
  <si>
    <t xml:space="preserve">Under 12 h</t>
  </si>
  <si>
    <t xml:space="preserve">One utility, one node</t>
  </si>
  <si>
    <t xml:space="preserve">Pressure fluctuation noticed; restrooms usable; facility contacts utility</t>
  </si>
  <si>
    <t xml:space="preserve">Precautionary boil notice; fountains and ice stop; menus restricted; bottled water; movement unaffected</t>
  </si>
  <si>
    <t xml:space="preserve">Service normalizes; sampling continues; notice lifted on public-health timeline</t>
  </si>
  <si>
    <t xml:space="preserve">No residual operational effect; after-action review</t>
  </si>
  <si>
    <t xml:space="preserve">Facility discovers it does not know its alternate-supply position</t>
  </si>
  <si>
    <t xml:space="preserve">No measurable effect beyond concessions</t>
  </si>
  <si>
    <t xml:space="preserve">1-2 days degraded amenities at one facility</t>
  </si>
  <si>
    <t xml:space="preserve">Multi-day boil notice with concession loss</t>
  </si>
  <si>
    <t xml:space="preserve">None material - this scenario is directly observed</t>
  </si>
  <si>
    <t xml:space="preserve">S2</t>
  </si>
  <si>
    <t xml:space="preserve">Regional multi-utility disruption</t>
  </si>
  <si>
    <t xml:space="preserve">24-72 h</t>
  </si>
  <si>
    <t xml:space="preserve">One metropolitan region</t>
  </si>
  <si>
    <t xml:space="preserve">Multiple facilities report pressure anomalies; regional picture not yet assembled</t>
  </si>
  <si>
    <t xml:space="preserve">Boil notices across jurisdictions; simultaneous degradation; portable sanitation orders compete</t>
  </si>
  <si>
    <t xml:space="preserve">Absenteeism registers; manual operations enter second and third shift; concourse or station may close</t>
  </si>
  <si>
    <t xml:space="preserve">Staged recovery; last utilities slowest as engineering support queues</t>
  </si>
  <si>
    <t xml:space="preserve">Regional after-action; procurement of portable assets and storage</t>
  </si>
  <si>
    <t xml:space="preserve">Parallel isolated events with no interaction</t>
  </si>
  <si>
    <t xml:space="preserve">2-3 days degraded amenities at several facilities; one localized closure</t>
  </si>
  <si>
    <t xml:space="preserve">Fire-protection impairment forcing occupancy restriction; measurable absenteeism</t>
  </si>
  <si>
    <t xml:space="preserve">Whether regional portable sanitation and tanker inventories can serve several large facilities at once</t>
  </si>
  <si>
    <t xml:space="preserve">S3</t>
  </si>
  <si>
    <t xml:space="preserve">Coordinated campaign against water and transportation OT in one metro area</t>
  </si>
  <si>
    <t xml:space="preserve">3-14 days</t>
  </si>
  <si>
    <t xml:space="preserve">One metropolitan area</t>
  </si>
  <si>
    <t xml:space="preserve">Anomalous readings at dispersed transportation field sites; conservative response drives immediate restrictions</t>
  </si>
  <si>
    <t xml:space="preserve">Severe congestion as tunnel and bridge capacity is removed; transit crowding; freight rerouting</t>
  </si>
  <si>
    <t xml:space="preserve">Physical verification of controller logic site by site; slow because engineers must travel through degraded traffic</t>
  </si>
  <si>
    <t xml:space="preserve">Staged restoration as sites are validated; sustained capacity reduction</t>
  </si>
  <si>
    <t xml:space="preserve">Fleet-wide controller replacement and architecture change; extended capital demand</t>
  </si>
  <si>
    <t xml:space="preserve">Brief precautionary restrictions with rapid validation</t>
  </si>
  <si>
    <t xml:space="preserve">1-2 weeks reduced capacity at chokepoints</t>
  </si>
  <si>
    <t xml:space="preserve">Extended tunnel or crossing closure pending logic validation</t>
  </si>
  <si>
    <t xml:space="preserve">Low to moderate</t>
  </si>
  <si>
    <t xml:space="preserve">Actual extent of transportation controller exposure - the assumption this scenario rests on entirely</t>
  </si>
  <si>
    <t xml:space="preserve">S4</t>
  </si>
  <si>
    <t xml:space="preserve">Suspected or actual contamination requiring conservative shutdown</t>
  </si>
  <si>
    <t xml:space="preserve">One to several systems</t>
  </si>
  <si>
    <t xml:space="preserve">Do-not-drink guidance issued conservatively; food service, ice, fountains stop at affected facilities</t>
  </si>
  <si>
    <t xml:space="preserve">Bottled-water logistics at passenger scale; public concern exceeds physical situation; media amplification</t>
  </si>
  <si>
    <t xml:space="preserve">Sampling results return; guidance narrows if negative, extends if ambiguous</t>
  </si>
  <si>
    <t xml:space="preserve">Flushing, sequential clearance, staged lifting; food-handling disposition decisions</t>
  </si>
  <si>
    <t xml:space="preserve">Durable public-confidence effects; elevated bottled-water demand; oversight attention</t>
  </si>
  <si>
    <t xml:space="preserve">Guidance lifted within 72 h with no confirmed contamination</t>
  </si>
  <si>
    <t xml:space="preserve">5-7 days do-not-drink guidance; food service halted metro-wide</t>
  </si>
  <si>
    <t xml:space="preserve">Confirmed contamination with public-health cases</t>
  </si>
  <si>
    <t xml:space="preserve">Moderate on mechanism, low on high band</t>
  </si>
  <si>
    <t xml:space="preserve">Whether treatment-process manipulation could defeat both automated monitoring and routine sampling</t>
  </si>
  <si>
    <t xml:space="preserve">S5</t>
  </si>
  <si>
    <t xml:space="preserve">Nationally distributed opportunistic attacks on common exposed configurations</t>
  </si>
  <si>
    <t xml:space="preserve">1-3 months</t>
  </si>
  <si>
    <t xml:space="preserve">Many states, dispersed</t>
  </si>
  <si>
    <t xml:space="preserve">Local effects resemble S1 per incident</t>
  </si>
  <si>
    <t xml:space="preserve">Federal and state response capacity consumed by volume rather than severity; triage dominates</t>
  </si>
  <si>
    <t xml:space="preserve">Engineering and integrator capacity saturates nationally; hardware on allocation</t>
  </si>
  <si>
    <t xml:space="preserve">Persistent elevated incident baseline; sustained cost; alert-fatigue risk</t>
  </si>
  <si>
    <t xml:space="preserve">Incident rate declines as exposure is remediated</t>
  </si>
  <si>
    <t xml:space="preserve">Sustained elevated incident rate 1-3 months; cumulative response cost</t>
  </si>
  <si>
    <t xml:space="preserve">A serious incident is missed inside the volume and recognized late</t>
  </si>
  <si>
    <t xml:space="preserve">Size of the remaining exposed population and the rate at which it is being reduced</t>
  </si>
  <si>
    <t xml:space="preserve">S6</t>
  </si>
  <si>
    <t xml:space="preserve">Blended campaign during a geopolitical crisis</t>
  </si>
  <si>
    <t xml:space="preserve">2-14 days</t>
  </si>
  <si>
    <t xml:space="preserve">Multi-region</t>
  </si>
  <si>
    <t xml:space="preserve">Concurrent reports across sectors; fabricated contamination and closure claims circulate; decisions made on degraded information</t>
  </si>
  <si>
    <t xml:space="preserve">Broad precautionary restrictions because verification is slow; self-evacuation; absenteeism; posture elevation across modes</t>
  </si>
  <si>
    <t xml:space="preserve">Attribution pressure and messaging load dominate leadership attention; genuine and fabricated incidents hard to separate</t>
  </si>
  <si>
    <t xml:space="preserve">Uneven recovery; information effects persist after physical ones resolve</t>
  </si>
  <si>
    <t xml:space="preserve">Durable posture changes, regulatory response, public-confidence effects</t>
  </si>
  <si>
    <t xml:space="preserve">Information effects dominate; physical effects minor; credible official communication contains confusion</t>
  </si>
  <si>
    <t xml:space="preserve">Several days elevated posture; regional service reductions across modes; precautionary closures</t>
  </si>
  <si>
    <t xml:space="preserve">Concurrent multi-sector physical effects; saturated response; multi-week recovery</t>
  </si>
  <si>
    <t xml:space="preserve">Escalation trajectory of the underlying conflict; effect of divergent public messaging by senior officials</t>
  </si>
  <si>
    <t xml:space="preserve">Note: Consequence bands are ANALYST-ASSIGNED judgments calibrated against the observed cases in INCIDENTS. They are not model outputs and no simulation was run. The observed cases were short, non-adversarial, and resolved on repair timelines; they bound short events well and multi-day adversarial events poorly. Bands for durations beyond roughly one day carry low confidence.</t>
  </si>
  <si>
    <t xml:space="preserve">Indicators and warnings</t>
  </si>
  <si>
    <t xml:space="preserve">Class</t>
  </si>
  <si>
    <t xml:space="preserve">Indicator</t>
  </si>
  <si>
    <t xml:space="preserve">Why_It_Matters</t>
  </si>
  <si>
    <t xml:space="preserve">Expected_Lead_Time</t>
  </si>
  <si>
    <t xml:space="preserve">Collection_Source</t>
  </si>
  <si>
    <t xml:space="preserve">False_Positive_Risk</t>
  </si>
  <si>
    <t xml:space="preserve">Decision_Informed</t>
  </si>
  <si>
    <t xml:space="preserve">Leading</t>
  </si>
  <si>
    <t xml:space="preserve">Increase in scanning or authentication attempts against transportation OT on control-system ports</t>
  </si>
  <si>
    <t xml:space="preserve">Precedes access attempts; the campaign reaches devices before acting on them</t>
  </si>
  <si>
    <t xml:space="preserve">Days to weeks</t>
  </si>
  <si>
    <t xml:space="preserve">Operator network monitoring; CISA services; internet-exposure research</t>
  </si>
  <si>
    <t xml:space="preserve">Whether to accelerate exposure removal</t>
  </si>
  <si>
    <t xml:space="preserve">Discovery of undocumented cellular modems or remote-access paths at transportation field sites</t>
  </si>
  <si>
    <t xml:space="preserve">The specific blind spot CISA named; presence indicates unknown exposure</t>
  </si>
  <si>
    <t xml:space="preserve">Immediate on discovery</t>
  </si>
  <si>
    <t xml:space="preserve">Physical and logical asset survey; integrator and vendor queries</t>
  </si>
  <si>
    <t xml:space="preserve">Immediate isolation and architecture decision</t>
  </si>
  <si>
    <t xml:space="preserve">Rising count of internet-reachable controllers attributable to transportation operators</t>
  </si>
  <si>
    <t xml:space="preserve">Direct measure of the exposure driving the threat model</t>
  </si>
  <si>
    <t xml:space="preserve">Weeks</t>
  </si>
  <si>
    <t xml:space="preserve">Operator self-assessment; CISA cyber hygiene services</t>
  </si>
  <si>
    <t xml:space="preserve">Prioritization of remediation resources</t>
  </si>
  <si>
    <t xml:space="preserve">Water utilities in a transportation corridor going manual or issuing pressure, flooding, contamination, or boil-water notices</t>
  </si>
  <si>
    <t xml:space="preserve">Direct precursor of facility effect via the dependency pathway</t>
  </si>
  <si>
    <t xml:space="preserve">Hours</t>
  </si>
  <si>
    <t xml:space="preserve">Utility public notices; state primacy agencies; local emergency management; fusion centers</t>
  </si>
  <si>
    <t xml:space="preserve">Low for the notice; moderate for cyber causation</t>
  </si>
  <si>
    <t xml:space="preserve">Facility continuity activation and public messaging</t>
  </si>
  <si>
    <t xml:space="preserve">Incidents clustering across common integrators, vendors, device models, or configurations</t>
  </si>
  <si>
    <t xml:space="preserve">The correlation mechanism; indicates a reusable technique</t>
  </si>
  <si>
    <t xml:space="preserve">Days</t>
  </si>
  <si>
    <t xml:space="preserve">Sector information-sharing organizations; vendor advisories; federal alerts</t>
  </si>
  <si>
    <t xml:space="preserve">Whether to treat the event as regional or national</t>
  </si>
  <si>
    <t xml:space="preserve">Threat-actor statements or targeting references naming airports, ports, rail, pipelines, or municipal services</t>
  </si>
  <si>
    <t xml:space="preserve">Signals declared intent; may precede information operations</t>
  </si>
  <si>
    <t xml:space="preserve">Open-source monitoring; actor channels; commercial threat intelligence</t>
  </si>
  <si>
    <t xml:space="preserve">Public-messaging preparation only - not a basis for operational change alone</t>
  </si>
  <si>
    <t xml:space="preserve">Unusual procurement of controllers, portable water and sanitation assets, chemicals, pumps, or generators</t>
  </si>
  <si>
    <t xml:space="preserve">Aggregate demand signal indicating broader disruption than reported</t>
  </si>
  <si>
    <t xml:space="preserve">Supplier and distributor reporting; procurement channels</t>
  </si>
  <si>
    <t xml:space="preserve">Supply-chain pre-positioning</t>
  </si>
  <si>
    <t xml:space="preserve">Escalation in the underlying geopolitical situation</t>
  </si>
  <si>
    <t xml:space="preserve">Attributed campaign described as escalating likely in response to hostilities</t>
  </si>
  <si>
    <t xml:space="preserve">Official statements; established reporting</t>
  </si>
  <si>
    <t xml:space="preserve">Posture review across modes</t>
  </si>
  <si>
    <t xml:space="preserve">Concurrent</t>
  </si>
  <si>
    <t xml:space="preserve">Transportation operator reports of water pressure loss, sanitation failure, or fire-system impairment</t>
  </si>
  <si>
    <t xml:space="preserve">First observable sign at the facility, often before utility notification</t>
  </si>
  <si>
    <t xml:space="preserve">Immediate</t>
  </si>
  <si>
    <t xml:space="preserve">Facility engineering and maintenance reporting</t>
  </si>
  <si>
    <t xml:space="preserve">Continuity activation; fire-watch decision</t>
  </si>
  <si>
    <t xml:space="preserve">Unexpected controller mode changes, project-file discrepancies, or disabled alarms in transportation systems</t>
  </si>
  <si>
    <t xml:space="preserve">Direct evidence of the manipulation described in the joint advisory</t>
  </si>
  <si>
    <t xml:space="preserve">Operator engineering review; vendor integrity-checking tools</t>
  </si>
  <si>
    <t xml:space="preserve">Treat instrumentation as untrusted; operate conservatively</t>
  </si>
  <si>
    <t xml:space="preserve">Operator-display values inconsistent with independent physical observation</t>
  </si>
  <si>
    <t xml:space="preserve">The signature of display manipulation; only reliable detection is off-network comparison</t>
  </si>
  <si>
    <t xml:space="preserve">Manual gauge reading; physical inspection; independent instrumentation</t>
  </si>
  <si>
    <t xml:space="preserve">Immediate escalation and manual operation</t>
  </si>
  <si>
    <t xml:space="preserve">Anomalous cellular modem traffic at field sites</t>
  </si>
  <si>
    <t xml:space="preserve">Modems are both an access path and an early warning point</t>
  </si>
  <si>
    <t xml:space="preserve">Modem logs where enabled</t>
  </si>
  <si>
    <t xml:space="preserve">Site isolation</t>
  </si>
  <si>
    <t xml:space="preserve">Simultaneous anomalies at dispersed sites sharing a configuration</t>
  </si>
  <si>
    <t xml:space="preserve">Distinguishes a systemic event from equipment failure</t>
  </si>
  <si>
    <t xml:space="preserve">Operator monitoring; regional coordination</t>
  </si>
  <si>
    <t xml:space="preserve">Low when genuinely simultaneous</t>
  </si>
  <si>
    <t xml:space="preserve">Escalate to systemic response</t>
  </si>
  <si>
    <t xml:space="preserve">Absenteeism rising at utilities, terminals, or distribution facilities</t>
  </si>
  <si>
    <t xml:space="preserve">Determines whether manual operations can be sustained</t>
  </si>
  <si>
    <t xml:space="preserve">Hours to days</t>
  </si>
  <si>
    <t xml:space="preserve">Operator workforce reporting</t>
  </si>
  <si>
    <t xml:space="preserve">Staffing augmentation; duration planning</t>
  </si>
  <si>
    <t xml:space="preserve">Circulating contamination or closure claims not traceable to an official source</t>
  </si>
  <si>
    <t xml:space="preserve">Information effects can produce operational consequences with no physical cause</t>
  </si>
  <si>
    <t xml:space="preserve">Open-source monitoring; public-affairs channels</t>
  </si>
  <si>
    <t xml:space="preserve">Counter-messaging; verify before operational response</t>
  </si>
  <si>
    <t xml:space="preserve">Lagging</t>
  </si>
  <si>
    <t xml:space="preserve">Duration of boil-water notices relative to technical restoration</t>
  </si>
  <si>
    <t xml:space="preserve">Measures the gap between fixing the system and lifting the restriction that governs facility operations</t>
  </si>
  <si>
    <t xml:space="preserve">Post-event</t>
  </si>
  <si>
    <t xml:space="preserve">Utility and primacy-agency records</t>
  </si>
  <si>
    <t xml:space="preserve">Continuity planning assumptions</t>
  </si>
  <si>
    <t xml:space="preserve">Time from compromise to detection at affected sites</t>
  </si>
  <si>
    <t xml:space="preserve">Tests whether the alarm-suppression concern is materializing</t>
  </si>
  <si>
    <t xml:space="preserve">Incident reporting; after-action review</t>
  </si>
  <si>
    <t xml:space="preserve">Detection investment priorities</t>
  </si>
  <si>
    <t xml:space="preserve">Proportion of facilities that sustained manual operations, and for how long</t>
  </si>
  <si>
    <t xml:space="preserve">Validates or refutes the central mitigation assumption in this assessment</t>
  </si>
  <si>
    <t xml:space="preserve">Operator after-action reporting</t>
  </si>
  <si>
    <t xml:space="preserve">Exercise and staffing requirements</t>
  </si>
  <si>
    <t xml:space="preserve">Replacement controller and secure-gateway lead times</t>
  </si>
  <si>
    <t xml:space="preserve">Measures whether recovery inhibition is binding</t>
  </si>
  <si>
    <t xml:space="preserve">Procurement records; supplier reporting</t>
  </si>
  <si>
    <t xml:space="preserve">Pre-positioning and inventory decisions</t>
  </si>
  <si>
    <t xml:space="preserve">Count of transportation controllers removed from internet exposure</t>
  </si>
  <si>
    <t xml:space="preserve">The only direct measure that the primary risk-reduction action is happening</t>
  </si>
  <si>
    <t xml:space="preserve">Ongoing</t>
  </si>
  <si>
    <t xml:space="preserve">Operator self-reporting; independent exposure measurement</t>
  </si>
  <si>
    <t xml:space="preserve">Programmatic risk-reduction reporting</t>
  </si>
  <si>
    <t xml:space="preserve">Recommended actions by time horizon</t>
  </si>
  <si>
    <t xml:space="preserve">Horizon</t>
  </si>
  <si>
    <t xml:space="preserve">Action</t>
  </si>
  <si>
    <t xml:space="preserve">Lead</t>
  </si>
  <si>
    <t xml:space="preserve">Authority_Basis</t>
  </si>
  <si>
    <t xml:space="preserve">Supporting</t>
  </si>
  <si>
    <t xml:space="preserve">Expected_Benefit</t>
  </si>
  <si>
    <t xml:space="preserve">Principal_Constraint</t>
  </si>
  <si>
    <t xml:space="preserve">0-24 h</t>
  </si>
  <si>
    <t xml:space="preserve">Build an integrated water-and-transportation incident picture: identify transportation facilities inside affected or at-risk utility service areas</t>
  </si>
  <si>
    <t xml:space="preserve">CISA regional offices</t>
  </si>
  <si>
    <t xml:space="preserve">Coordination - voluntary</t>
  </si>
  <si>
    <t xml:space="preserve">EPA, state primacy agencies, TSA, DOT modal administrations, fusion centers</t>
  </si>
  <si>
    <t xml:space="preserve">Converts an unbounded national concern into a specific short list of facilities</t>
  </si>
  <si>
    <t xml:space="preserve">Affected states not publicly identified; service-area boundaries not mapped against transportation assets</t>
  </si>
  <si>
    <t xml:space="preserve">Query transportation owners and operators for internet-reachable controllers, undocumented cellular modems, weak credentials, unexpected configuration changes, controller mode, and remote-access paths</t>
  </si>
  <si>
    <t xml:space="preserve">TSA for regulated modes; DOT modal administrations and airport sponsors otherwise</t>
  </si>
  <si>
    <t xml:space="preserve">Directive for designated pipeline and rail; voluntary request for all other modes</t>
  </si>
  <si>
    <t xml:space="preserve">CISA, operators, integrators</t>
  </si>
  <si>
    <t xml:space="preserve">Directly addresses the highest-consequence pathway</t>
  </si>
  <si>
    <t xml:space="preserve">No single instrument reaches all modes</t>
  </si>
  <si>
    <t xml:space="preserve">Verify at high-consequence facilities: water continuity, storage, alternate supply, sanitation contingency, fire-suppression assurance, wastewater capacity, closure thresholds</t>
  </si>
  <si>
    <t xml:space="preserve">Facility owners and operators</t>
  </si>
  <si>
    <t xml:space="preserve">Operator self-directed</t>
  </si>
  <si>
    <t xml:space="preserve">TSA, DOT modal administrations, state and local emergency management, fire authorities having jurisdiction</t>
  </si>
  <si>
    <t xml:space="preserve">Answers the question that drives closure decisions before it is asked under pressure</t>
  </si>
  <si>
    <t xml:space="preserve">Many operators have not documented closure thresholds; fire-water independence often assumed</t>
  </si>
  <si>
    <t xml:space="preserve">Confirm and refresh manual operating procedures for controller-dependent systems; identify who would execute them</t>
  </si>
  <si>
    <t xml:space="preserve">Integrators, TSA, modal administrations</t>
  </si>
  <si>
    <t xml:space="preserve">The variable that most determined severity in the observed water-sector cases</t>
  </si>
  <si>
    <t xml:space="preserve">Procedures frequently exist on paper without current staff familiarity</t>
  </si>
  <si>
    <t xml:space="preserve">Establish a reporting path so a water-service disruption at a transportation facility reaches transportation-security leadership</t>
  </si>
  <si>
    <t xml:space="preserve">TSA and DOT modal administrations</t>
  </si>
  <si>
    <t xml:space="preserve">Voluntary - no reporting requirement currently exists</t>
  </si>
  <si>
    <t xml:space="preserve">CISA, EPA, USCG, FEMA, fusion centers, operators</t>
  </si>
  <si>
    <t xml:space="preserve">Closes the reporting seam</t>
  </si>
  <si>
    <t xml:space="preserve">No requirement obliges operators to report utility-caused degradation</t>
  </si>
  <si>
    <t xml:space="preserve">Prepare unified risk communication avoiding premature attribution; pre-position responses to false contamination or closure claims</t>
  </si>
  <si>
    <t xml:space="preserve">DHS and DOT public affairs</t>
  </si>
  <si>
    <t xml:space="preserve">EPA, CISA, state and local public information officers, operators</t>
  </si>
  <si>
    <t xml:space="preserve">Information effects are the most probable near-term route to transportation consequence</t>
  </si>
  <si>
    <t xml:space="preserve">Divergent public statements by senior officials complicate message unity</t>
  </si>
  <si>
    <t xml:space="preserve">Conduct targeted dependency assessments for high-consequence nodes and their serving utilities</t>
  </si>
  <si>
    <t xml:space="preserve">Operator self-directed; requires utility cooperation</t>
  </si>
  <si>
    <t xml:space="preserve">CISA regional offices, EPA, state primacy agencies</t>
  </si>
  <si>
    <t xml:space="preserve">Produces a defensible priority list based on redundancy and function rather than volume</t>
  </si>
  <si>
    <t xml:space="preserve">Requires utility cooperation and data many operators have never requested</t>
  </si>
  <si>
    <t xml:space="preserve">Validate alternate water and sanitation arrangements: contracts, tanker availability, portable inventory, well permits and functionality, mutual-aid terms</t>
  </si>
  <si>
    <t xml:space="preserve">State and local emergency management, suppliers</t>
  </si>
  <si>
    <t xml:space="preserve">Prevents discovering during an event that a paper arrangement does not function</t>
  </si>
  <si>
    <t xml:space="preserve">Regional inventories are finite and contested in correlated scenarios</t>
  </si>
  <si>
    <t xml:space="preserve">Cross-reference affected controller models, integrators, remote-access technologies, and configurations against transportation inventories</t>
  </si>
  <si>
    <t xml:space="preserve">Directive for designated pipeline and rail; voluntary elsewhere</t>
  </si>
  <si>
    <t xml:space="preserve">CISA, sector information-sharing organizations, vendors, integrators</t>
  </si>
  <si>
    <t xml:space="preserve">Identifies the correlated-failure population before it fails</t>
  </si>
  <si>
    <t xml:space="preserve">Integrator relationships are commercially sensitive and not centrally held</t>
  </si>
  <si>
    <t xml:space="preserve">Exercise contingency plans for partial closure, diversion, rerouting, manual processing, and workforce support under a water-loss premise</t>
  </si>
  <si>
    <t xml:space="preserve">Modal administrations, transit and port authorities</t>
  </si>
  <si>
    <t xml:space="preserve">Tests the assumptions identified as most sensitive</t>
  </si>
  <si>
    <t xml:space="preserve">Exercise capacity competes with peak-season operations</t>
  </si>
  <si>
    <t xml:space="preserve">Establish an independent verification method for critical readings, off the network</t>
  </si>
  <si>
    <t xml:space="preserve">Integrators, vendors</t>
  </si>
  <si>
    <t xml:space="preserve">The only reliable countermeasure to display manipulation</t>
  </si>
  <si>
    <t xml:space="preserve">Requires engineering judgment about which readings are load-bearing</t>
  </si>
  <si>
    <t xml:space="preserve">3-14 d</t>
  </si>
  <si>
    <t xml:space="preserve">Remediate exposed OT: secure gateways, segmentation, logging, access control, backup validation, project-file integrity checking, end-of-life replacement planning</t>
  </si>
  <si>
    <t xml:space="preserve">Operator self-directed; directive-backed in pipeline and rail only</t>
  </si>
  <si>
    <t xml:space="preserve">CISA, TSA, integrators, vendors</t>
  </si>
  <si>
    <t xml:space="preserve">Removes the precondition on which the entire threat model depends</t>
  </si>
  <si>
    <t xml:space="preserve">Engineering and integrator capacity is the binding constraint, contested across sectors</t>
  </si>
  <si>
    <t xml:space="preserve">Develop regional playbooks for water-loss impacts by mode, including fire-watch procedures and closure thresholds</t>
  </si>
  <si>
    <t xml:space="preserve">Regional and metropolitan planning bodies</t>
  </si>
  <si>
    <t xml:space="preserve">Voluntary regional coordination</t>
  </si>
  <si>
    <t xml:space="preserve">Operators, fire authorities, emergency management, utilities</t>
  </si>
  <si>
    <t xml:space="preserve">Converts ad hoc decisions into pre-agreed criteria</t>
  </si>
  <si>
    <t xml:space="preserve">Requires agreement among parties that do not routinely plan together</t>
  </si>
  <si>
    <t xml:space="preserve">Identify procurement bottlenecks for controllers, modems, gateways, engineering support, pumps, portable water, sanitation assets</t>
  </si>
  <si>
    <t xml:space="preserve">DHS and DOT acquisition and resilience functions</t>
  </si>
  <si>
    <t xml:space="preserve">Federal internal</t>
  </si>
  <si>
    <t xml:space="preserve">Suppliers, distributors, integrators</t>
  </si>
  <si>
    <t xml:space="preserve">Anticipates the recovery-inhibition pathway rather than discovering it</t>
  </si>
  <si>
    <t xml:space="preserve">Demand visibility across sectors is poor</t>
  </si>
  <si>
    <t xml:space="preserve">Review grant, technical-assistance, and emergency-authority options without duplicating existing programs</t>
  </si>
  <si>
    <t xml:space="preserve">DHS, DOT, EPA</t>
  </si>
  <si>
    <t xml:space="preserve">Federal programmatic</t>
  </si>
  <si>
    <t xml:space="preserve">State administrative agencies</t>
  </si>
  <si>
    <t xml:space="preserve">Addresses the resource gap small operators cite directly</t>
  </si>
  <si>
    <t xml:space="preserve">Program timelines rarely match operational urgency</t>
  </si>
  <si>
    <t xml:space="preserve">Assess by direct inquiry whether transportation facilities served by affected utilities experienced unreported degradation</t>
  </si>
  <si>
    <t xml:space="preserve">Voluntary inquiry</t>
  </si>
  <si>
    <t xml:space="preserve">Operators, CISA</t>
  </si>
  <si>
    <t xml:space="preserve">Tests the no-reported-impact finding rather than assuming it</t>
  </si>
  <si>
    <t xml:space="preserve">Requires deliberate effort; absence of reports will otherwise read as absence of effect</t>
  </si>
  <si>
    <t xml:space="preserve">15-90 d</t>
  </si>
  <si>
    <t xml:space="preserve">Institutionalize cross-sector dependency mapping between water utilities and critical transportation nodes</t>
  </si>
  <si>
    <t xml:space="preserve">CISA</t>
  </si>
  <si>
    <t xml:space="preserve">Federal programmatic - new assignment required</t>
  </si>
  <si>
    <t xml:space="preserve">EPA, TSA, DOT, USCG, states, operators</t>
  </si>
  <si>
    <t xml:space="preserve">Makes the integrated picture standing rather than improvised</t>
  </si>
  <si>
    <t xml:space="preserve">No entity currently owns this mapping; it spans two sector risk management agencies</t>
  </si>
  <si>
    <t xml:space="preserve">Develop minimum continuity objectives for water loss, wastewater loss, suspected contamination, manual operation, and recovery testing</t>
  </si>
  <si>
    <t xml:space="preserve">Voluntary objectives, or rulemaking if made mandatory</t>
  </si>
  <si>
    <t xml:space="preserve">Operators, industry associations, fire authorities</t>
  </si>
  <si>
    <t xml:space="preserve">Replaces facility-by-facility improvisation with comparable standards</t>
  </si>
  <si>
    <t xml:space="preserve">Voluntary objectives may not reach facilities with least capacity; mandatory ones require rulemaking</t>
  </si>
  <si>
    <t xml:space="preserve">Evaluate whether regulatory, directive, grant, procurement, or information-sharing changes are warranted, distinguishing legal authority from policy preference</t>
  </si>
  <si>
    <t xml:space="preserve">DHS and DOT policy functions</t>
  </si>
  <si>
    <t xml:space="preserve">Federal policy</t>
  </si>
  <si>
    <t xml:space="preserve">Counsel, OMB, congressional oversight</t>
  </si>
  <si>
    <t xml:space="preserve">Ensures any instrument chosen is one the agency can actually issue</t>
  </si>
  <si>
    <t xml:space="preserve">Security-directive authority is structured differently across modes</t>
  </si>
  <si>
    <t xml:space="preserve">Establish recurring joint exercises across water utilities, transportation operators, public health, emergency management, law enforcement, and cyber responders</t>
  </si>
  <si>
    <t xml:space="preserve">FEMA and CISA</t>
  </si>
  <si>
    <t xml:space="preserve">Voluntary</t>
  </si>
  <si>
    <t xml:space="preserve">EPA, TSA, DOT, states, operators</t>
  </si>
  <si>
    <t xml:space="preserve">Exercises the seams identified as the slowest part of the response</t>
  </si>
  <si>
    <t xml:space="preserve">Few existing joint exercise venues</t>
  </si>
  <si>
    <t xml:space="preserve">Measure risk reduction by observable outcomes rather than compliance activity</t>
  </si>
  <si>
    <t xml:space="preserve">DHS and DOT</t>
  </si>
  <si>
    <t xml:space="preserve">Operators, GAO</t>
  </si>
  <si>
    <t xml:space="preserve">Prevents reporting that documents effort rather than effect</t>
  </si>
  <si>
    <t xml:space="preserve">Outcome measures require baseline data that does not exist</t>
  </si>
  <si>
    <t xml:space="preserve">Probability judgments</t>
  </si>
  <si>
    <t xml:space="preserve">Judgment</t>
  </si>
  <si>
    <t xml:space="preserve">Horizon_End</t>
  </si>
  <si>
    <t xml:space="preserve">IC_Term</t>
  </si>
  <si>
    <t xml:space="preserve">Band_Low_Pct</t>
  </si>
  <si>
    <t xml:space="preserve">Band_High_Pct</t>
  </si>
  <si>
    <t xml:space="preserve">Basis_And_Driver</t>
  </si>
  <si>
    <t xml:space="preserve">Attempted targeting of U.S. water-sector operational technology continues</t>
  </si>
  <si>
    <t xml:space="preserve">2026-10-31</t>
  </si>
  <si>
    <t xml:space="preserve">Almost certain</t>
  </si>
  <si>
    <t xml:space="preserve">Ongoing campaign described as active by three federal documents; exposure condition persists; low capability bar</t>
  </si>
  <si>
    <t xml:space="preserve">At least one additional U.S. water utility suffers operational degradation from cyber activity</t>
  </si>
  <si>
    <t xml:space="preserve">Very likely</t>
  </si>
  <si>
    <t xml:space="preserve">Seven states in five days establishes a high recent rate; remediation of a dispersed population takes months</t>
  </si>
  <si>
    <t xml:space="preserve">At least one U.S. transportation facility experiences water or wastewater disruption traceable to a cyber incident at its serving utility</t>
  </si>
  <si>
    <t xml:space="preserve">Roughly even chance</t>
  </si>
  <si>
    <t xml:space="preserve">Many utilities targeted, but transportation facilities are a small fraction of served customers; targeted systems so far have been small community systems</t>
  </si>
  <si>
    <t xml:space="preserve">Such a disruption occurs at a nationally or regionally significant transportation node</t>
  </si>
  <si>
    <t xml:space="preserve">Unlikely</t>
  </si>
  <si>
    <t xml:space="preserve">Major hubs typically served by large metropolitan utilities with greater cyber maturity and more redundancy</t>
  </si>
  <si>
    <t xml:space="preserve">Any such disruption produces measurable transportation service impact beyond sanitation and concessions</t>
  </si>
  <si>
    <t xml:space="preserve">Observed record shows water loss degrades amenities without stopping movement</t>
  </si>
  <si>
    <t xml:space="preserve">Direct compromise of U.S. transportation-sector OT by this or similar activity, producing operational degradation</t>
  </si>
  <si>
    <t xml:space="preserve">Shared device families and exposure conditions, but no observed targeting of transportation controllers</t>
  </si>
  <si>
    <t xml:space="preserve">A suspected-contamination event triggers precautionary restrictions at a transportation facility</t>
  </si>
  <si>
    <t xml:space="preserve">Precautionary action follows from pressure loss, which is already occurring; does not require actual contamination</t>
  </si>
  <si>
    <t xml:space="preserve">Actual malicious contamination causing documented public-health harm at a transportation facility</t>
  </si>
  <si>
    <t xml:space="preserve">Almost no chance</t>
  </si>
  <si>
    <t xml:space="preserve">No contamination reported in this campaign or prior U.S. cases; treatment barriers, monitoring, and sampling present substantial obstacles</t>
  </si>
  <si>
    <t xml:space="preserve">Public U.S. government attribution of the July water-sector incidents to a named actor</t>
  </si>
  <si>
    <t xml:space="preserve">Investigation active and federal engagement extensive, but attribution decisions are policy-dependent</t>
  </si>
  <si>
    <t xml:space="preserve">A federal transportation-security instrument is issued addressing controller exposure in a transportation mode</t>
  </si>
  <si>
    <t xml:space="preserve">Likely</t>
  </si>
  <si>
    <t xml:space="preserve">Existing directive machinery in pipeline and rail modes; precedent for rapid issuance after cross-sector warnings</t>
  </si>
  <si>
    <t xml:space="preserve">Note: The Band_Low_Pct and Band_High_Pct columns are the DEFINITIONAL bands of the IC term in the IC_Term column, not computed confidence intervals. They do not represent a calculated range around an estimate. These judgments are CONDITIONALLY DEPENDENT and must NOT be multiplied together to derive a compound probability. All are analyst-assigned; none is a published government estimate or a model output.</t>
  </si>
  <si>
    <t xml:space="preserve">Summary counts</t>
  </si>
  <si>
    <t xml:space="preserve">All values below are computed by formula from the other sheets and recalculate if rows are added or edited.</t>
  </si>
  <si>
    <t xml:space="preserve">Incident rows — Confirmed</t>
  </si>
  <si>
    <t xml:space="preserve">Incident rows — Reported</t>
  </si>
  <si>
    <t xml:space="preserve">Incident rows — Claimed</t>
  </si>
  <si>
    <t xml:space="preserve">Incident rows — Analogue (no cyber nexus)</t>
  </si>
  <si>
    <t xml:space="preserve">Total incident rows</t>
  </si>
  <si>
    <t xml:space="preserve">Transportation modes assessed</t>
  </si>
  <si>
    <t xml:space="preserve">Modes with very high direct controller exposure</t>
  </si>
  <si>
    <t xml:space="preserve">Scenarios defined</t>
  </si>
  <si>
    <t xml:space="preserve">Indicators — Leading</t>
  </si>
  <si>
    <t xml:space="preserve">Indicators — Concurrent</t>
  </si>
  <si>
    <t xml:space="preserve">Indicators — Lagging</t>
  </si>
  <si>
    <t xml:space="preserve">Total indicators</t>
  </si>
  <si>
    <t xml:space="preserve">Actions — 0-24 h</t>
  </si>
  <si>
    <t xml:space="preserve">Actions — 24-72 h</t>
  </si>
  <si>
    <t xml:space="preserve">Actions — 3-14 d</t>
  </si>
  <si>
    <t xml:space="preserve">Actions — 15-90 d</t>
  </si>
  <si>
    <t xml:space="preserve">Total actions</t>
  </si>
  <si>
    <t xml:space="preserve">Lowest band floor across judgments (%)</t>
  </si>
  <si>
    <t xml:space="preserve">Highest band ceiling across judgments (%)</t>
  </si>
  <si>
    <t xml:space="preserve">Note: the two band statistics are the minimum floor and maximum ceiling across separate judgments. They are range endpoints, not a probability of anything, and are shown only as a data-integrity check.</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</si>
</sst>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1"/>
      <color rgb="FF404040"/>
      <name val="Arial"/>
      <family val="0"/>
      <charset val="1"/>
    </font>
    <font>
      <b val="true"/>
      <sz val="10"/>
      <color rgb="FFFFFFFF"/>
      <name val="Arial"/>
      <family val="0"/>
      <charset val="1"/>
    </font>
    <font>
      <b val="true"/>
      <sz val="9"/>
      <name val="Arial"/>
      <family val="0"/>
      <charset val="1"/>
    </font>
    <font>
      <sz val="9"/>
      <name val="Arial"/>
      <family val="0"/>
      <charset val="1"/>
    </font>
    <font>
      <b val="true"/>
      <sz val="13"/>
      <color rgb="FF1F3864"/>
      <name val="Arial"/>
      <family val="0"/>
      <charset val="1"/>
    </font>
    <font>
      <i val="true"/>
      <sz val="8"/>
      <color rgb="FF525252"/>
      <name val="Arial"/>
      <family val="0"/>
      <charset val="1"/>
    </font>
    <font>
      <b val="true"/>
      <sz val="9"/>
      <color rgb="FFFFFFFF"/>
      <name val="Arial"/>
      <family val="0"/>
      <charset val="1"/>
    </font>
  </fonts>
  <fills count="5">
    <fill>
      <patternFill patternType="none"/>
    </fill>
    <fill>
      <patternFill patternType="gray125"/>
    </fill>
    <fill>
      <patternFill patternType="solid">
        <fgColor rgb="FF8B1A1A"/>
        <bgColor rgb="FF800000"/>
      </patternFill>
    </fill>
    <fill>
      <patternFill patternType="solid">
        <fgColor rgb="FF1F3864"/>
        <bgColor rgb="FF333399"/>
      </patternFill>
    </fill>
    <fill>
      <patternFill patternType="solid">
        <fgColor rgb="FFF2F5FA"/>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F2F5FA"/>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5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25252"/>
      <rgbColor rgb="FF969696"/>
      <rgbColor rgb="FF1F3864"/>
      <rgbColor rgb="FF339966"/>
      <rgbColor rgb="FF003300"/>
      <rgbColor rgb="FF333300"/>
      <rgbColor rgb="FF8B1A1A"/>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8"/>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6" customFormat="false" ht="22.35" hidden="false" customHeight="false" outlineLevel="0" collapsed="false">
      <c r="A6" s="4" t="s">
        <v>3</v>
      </c>
      <c r="B6" s="5" t="s">
        <v>4</v>
      </c>
    </row>
    <row r="7" customFormat="false" ht="15" hidden="false" customHeight="false" outlineLevel="0" collapsed="false">
      <c r="A7" s="4" t="s">
        <v>5</v>
      </c>
      <c r="B7" s="5" t="s">
        <v>6</v>
      </c>
    </row>
    <row r="8" customFormat="false" ht="22.35" hidden="false" customHeight="false" outlineLevel="0" collapsed="false">
      <c r="A8" s="4" t="s">
        <v>7</v>
      </c>
      <c r="B8" s="5" t="s">
        <v>8</v>
      </c>
    </row>
    <row r="9" customFormat="false" ht="22.35" hidden="false" customHeight="false" outlineLevel="0" collapsed="false">
      <c r="A9" s="4" t="s">
        <v>9</v>
      </c>
      <c r="B9" s="5" t="s">
        <v>10</v>
      </c>
    </row>
    <row r="10" customFormat="false" ht="15" hidden="false" customHeight="false" outlineLevel="0" collapsed="false">
      <c r="A10" s="4" t="s">
        <v>11</v>
      </c>
      <c r="B10" s="5" t="s">
        <v>12</v>
      </c>
    </row>
    <row r="11" customFormat="false" ht="15" hidden="false" customHeight="false" outlineLevel="0" collapsed="false">
      <c r="A11" s="4" t="s">
        <v>13</v>
      </c>
      <c r="B11" s="5" t="s">
        <v>14</v>
      </c>
    </row>
    <row r="12" customFormat="false" ht="15" hidden="false" customHeight="false" outlineLevel="0" collapsed="false">
      <c r="A12" s="4" t="s">
        <v>15</v>
      </c>
      <c r="B12" s="5" t="s">
        <v>16</v>
      </c>
    </row>
    <row r="13" customFormat="false" ht="15" hidden="false" customHeight="false" outlineLevel="0" collapsed="false">
      <c r="A13" s="4" t="s">
        <v>17</v>
      </c>
      <c r="B13" s="5" t="s">
        <v>18</v>
      </c>
    </row>
    <row r="14" customFormat="false" ht="32.8" hidden="false" customHeight="false" outlineLevel="0" collapsed="false">
      <c r="A14" s="4" t="s">
        <v>19</v>
      </c>
      <c r="B14" s="5" t="s">
        <v>20</v>
      </c>
    </row>
    <row r="15" customFormat="false" ht="15" hidden="false" customHeight="false" outlineLevel="0" collapsed="false">
      <c r="A15" s="4" t="s">
        <v>21</v>
      </c>
      <c r="B15" s="5" t="s">
        <v>22</v>
      </c>
    </row>
    <row r="16" customFormat="false" ht="15" hidden="false" customHeight="false" outlineLevel="0" collapsed="false">
      <c r="A16" s="4" t="s">
        <v>23</v>
      </c>
      <c r="B16" s="5" t="s">
        <v>24</v>
      </c>
    </row>
    <row r="17" customFormat="false" ht="15" hidden="false" customHeight="false" outlineLevel="0" collapsed="false">
      <c r="A17" s="4"/>
      <c r="B17" s="5"/>
    </row>
    <row r="18" customFormat="false" ht="22.35" hidden="false" customHeight="false" outlineLevel="0" collapsed="false">
      <c r="A18" s="4" t="s">
        <v>25</v>
      </c>
      <c r="B18" s="5" t="s">
        <v>26</v>
      </c>
    </row>
    <row r="19" customFormat="false" ht="22.35" hidden="false" customHeight="false" outlineLevel="0" collapsed="false">
      <c r="A19" s="4" t="s">
        <v>27</v>
      </c>
      <c r="B19" s="5" t="s">
        <v>28</v>
      </c>
    </row>
    <row r="20" customFormat="false" ht="32.8" hidden="false" customHeight="false" outlineLevel="0" collapsed="false">
      <c r="A20" s="4" t="s">
        <v>29</v>
      </c>
      <c r="B20" s="5" t="s">
        <v>30</v>
      </c>
    </row>
    <row r="21" customFormat="false" ht="22.35" hidden="false" customHeight="false" outlineLevel="0" collapsed="false">
      <c r="A21" s="4" t="s">
        <v>31</v>
      </c>
      <c r="B21" s="5" t="s">
        <v>32</v>
      </c>
    </row>
    <row r="22" customFormat="false" ht="22.35" hidden="false" customHeight="false" outlineLevel="0" collapsed="false">
      <c r="A22" s="4" t="s">
        <v>33</v>
      </c>
      <c r="B22" s="5" t="s">
        <v>34</v>
      </c>
    </row>
    <row r="23" customFormat="false" ht="22.35" hidden="false" customHeight="false" outlineLevel="0" collapsed="false">
      <c r="A23" s="4" t="s">
        <v>35</v>
      </c>
      <c r="B23" s="5" t="s">
        <v>36</v>
      </c>
    </row>
    <row r="24" customFormat="false" ht="15" hidden="false" customHeight="false" outlineLevel="0" collapsed="false">
      <c r="A24" s="4"/>
      <c r="B24" s="5"/>
    </row>
    <row r="25" customFormat="false" ht="15" hidden="false" customHeight="false" outlineLevel="0" collapsed="false">
      <c r="A25" s="4" t="s">
        <v>37</v>
      </c>
      <c r="B25" s="5" t="s">
        <v>38</v>
      </c>
    </row>
    <row r="26" customFormat="false" ht="22.35" hidden="false" customHeight="false" outlineLevel="0" collapsed="false">
      <c r="A26" s="4"/>
      <c r="B26" s="5" t="s">
        <v>39</v>
      </c>
    </row>
    <row r="27" customFormat="false" ht="15" hidden="false" customHeight="false" outlineLevel="0" collapsed="false">
      <c r="A27" s="4"/>
      <c r="B27" s="5" t="s">
        <v>40</v>
      </c>
    </row>
    <row r="28" customFormat="false" ht="15" hidden="false" customHeight="false" outlineLevel="0" collapsed="false">
      <c r="A28" s="4"/>
      <c r="B28" s="5" t="s">
        <v>41</v>
      </c>
    </row>
    <row r="29" customFormat="false" ht="15" hidden="false" customHeight="false" outlineLevel="0" collapsed="false">
      <c r="A29" s="4"/>
      <c r="B29" s="5"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30"/>
    <col collapsed="false" customWidth="true" hidden="false" outlineLevel="0" max="4" min="4" style="0" width="40"/>
    <col collapsed="false" customWidth="true" hidden="false" outlineLevel="0" max="5" min="5" style="0" width="28"/>
    <col collapsed="false" customWidth="true" hidden="false" outlineLevel="0" max="6" min="6" style="0" width="12"/>
    <col collapsed="false" customWidth="true" hidden="false" outlineLevel="0" max="7" min="7" style="0" width="11"/>
  </cols>
  <sheetData>
    <row r="1" customFormat="false" ht="16.15" hidden="false" customHeight="false" outlineLevel="0" collapsed="false">
      <c r="A1" s="6" t="s">
        <v>43</v>
      </c>
    </row>
    <row r="2" customFormat="false" ht="15" hidden="false" customHeight="false" outlineLevel="0" collapsed="false">
      <c r="A2" s="7" t="s">
        <v>44</v>
      </c>
    </row>
    <row r="4" customFormat="false" ht="30" hidden="false" customHeight="true" outlineLevel="0" collapsed="false">
      <c r="A4" s="8" t="s">
        <v>45</v>
      </c>
      <c r="B4" s="8" t="s">
        <v>46</v>
      </c>
      <c r="C4" s="8" t="s">
        <v>47</v>
      </c>
      <c r="D4" s="8" t="s">
        <v>48</v>
      </c>
      <c r="E4" s="8" t="s">
        <v>49</v>
      </c>
      <c r="F4" s="8" t="s">
        <v>50</v>
      </c>
      <c r="G4" s="8" t="s">
        <v>51</v>
      </c>
    </row>
    <row r="5" customFormat="false" ht="22.35" hidden="false" customHeight="false" outlineLevel="0" collapsed="false">
      <c r="A5" s="9" t="s">
        <v>52</v>
      </c>
      <c r="B5" s="9" t="s">
        <v>53</v>
      </c>
      <c r="C5" s="9" t="s">
        <v>54</v>
      </c>
      <c r="D5" s="9" t="s">
        <v>55</v>
      </c>
      <c r="E5" s="9" t="s">
        <v>56</v>
      </c>
      <c r="F5" s="9" t="s">
        <v>57</v>
      </c>
      <c r="G5" s="9" t="s">
        <v>58</v>
      </c>
    </row>
    <row r="6" customFormat="false" ht="32.8" hidden="false" customHeight="false" outlineLevel="0" collapsed="false">
      <c r="A6" s="10" t="s">
        <v>59</v>
      </c>
      <c r="B6" s="10" t="s">
        <v>53</v>
      </c>
      <c r="C6" s="10" t="s">
        <v>60</v>
      </c>
      <c r="D6" s="10" t="s">
        <v>61</v>
      </c>
      <c r="E6" s="10" t="s">
        <v>62</v>
      </c>
      <c r="F6" s="10" t="s">
        <v>57</v>
      </c>
      <c r="G6" s="10" t="s">
        <v>63</v>
      </c>
    </row>
    <row r="7" customFormat="false" ht="43.25" hidden="false" customHeight="false" outlineLevel="0" collapsed="false">
      <c r="A7" s="9" t="s">
        <v>64</v>
      </c>
      <c r="B7" s="9" t="s">
        <v>65</v>
      </c>
      <c r="C7" s="9" t="s">
        <v>66</v>
      </c>
      <c r="D7" s="9" t="s">
        <v>67</v>
      </c>
      <c r="E7" s="9" t="s">
        <v>68</v>
      </c>
      <c r="F7" s="9" t="s">
        <v>69</v>
      </c>
      <c r="G7" s="9" t="s">
        <v>70</v>
      </c>
    </row>
    <row r="8" customFormat="false" ht="32.8" hidden="false" customHeight="false" outlineLevel="0" collapsed="false">
      <c r="A8" s="10" t="s">
        <v>71</v>
      </c>
      <c r="B8" s="10" t="s">
        <v>72</v>
      </c>
      <c r="C8" s="10" t="s">
        <v>73</v>
      </c>
      <c r="D8" s="10" t="s">
        <v>74</v>
      </c>
      <c r="E8" s="10" t="s">
        <v>75</v>
      </c>
      <c r="F8" s="10" t="s">
        <v>57</v>
      </c>
      <c r="G8" s="10" t="s">
        <v>76</v>
      </c>
    </row>
    <row r="9" customFormat="false" ht="22.35" hidden="false" customHeight="false" outlineLevel="0" collapsed="false">
      <c r="A9" s="9" t="s">
        <v>77</v>
      </c>
      <c r="B9" s="9" t="s">
        <v>78</v>
      </c>
      <c r="C9" s="9" t="s">
        <v>79</v>
      </c>
      <c r="D9" s="9" t="s">
        <v>80</v>
      </c>
      <c r="E9" s="9" t="s">
        <v>81</v>
      </c>
      <c r="F9" s="9" t="s">
        <v>82</v>
      </c>
      <c r="G9" s="9" t="s">
        <v>83</v>
      </c>
    </row>
    <row r="10" customFormat="false" ht="32.8" hidden="false" customHeight="false" outlineLevel="0" collapsed="false">
      <c r="A10" s="10" t="s">
        <v>84</v>
      </c>
      <c r="B10" s="10" t="s">
        <v>85</v>
      </c>
      <c r="C10" s="10" t="s">
        <v>86</v>
      </c>
      <c r="D10" s="10" t="s">
        <v>87</v>
      </c>
      <c r="E10" s="10" t="s">
        <v>88</v>
      </c>
      <c r="F10" s="10" t="s">
        <v>57</v>
      </c>
      <c r="G10" s="10" t="s">
        <v>89</v>
      </c>
    </row>
    <row r="11" customFormat="false" ht="22.35" hidden="false" customHeight="false" outlineLevel="0" collapsed="false">
      <c r="A11" s="9" t="s">
        <v>90</v>
      </c>
      <c r="B11" s="9" t="s">
        <v>72</v>
      </c>
      <c r="C11" s="9" t="s">
        <v>91</v>
      </c>
      <c r="D11" s="9" t="s">
        <v>92</v>
      </c>
      <c r="E11" s="9" t="s">
        <v>93</v>
      </c>
      <c r="F11" s="9" t="s">
        <v>57</v>
      </c>
      <c r="G11" s="9" t="s">
        <v>76</v>
      </c>
    </row>
    <row r="12" customFormat="false" ht="22.35" hidden="false" customHeight="false" outlineLevel="0" collapsed="false">
      <c r="A12" s="10" t="s">
        <v>94</v>
      </c>
      <c r="B12" s="10" t="s">
        <v>95</v>
      </c>
      <c r="C12" s="10" t="s">
        <v>96</v>
      </c>
      <c r="D12" s="10" t="s">
        <v>97</v>
      </c>
      <c r="E12" s="10" t="s">
        <v>93</v>
      </c>
      <c r="F12" s="10" t="s">
        <v>57</v>
      </c>
      <c r="G12" s="10" t="s">
        <v>98</v>
      </c>
    </row>
    <row r="13" customFormat="false" ht="43.25" hidden="false" customHeight="false" outlineLevel="0" collapsed="false">
      <c r="A13" s="9" t="s">
        <v>99</v>
      </c>
      <c r="B13" s="9" t="s">
        <v>100</v>
      </c>
      <c r="C13" s="9" t="s">
        <v>101</v>
      </c>
      <c r="D13" s="9" t="s">
        <v>102</v>
      </c>
      <c r="E13" s="9" t="s">
        <v>103</v>
      </c>
      <c r="F13" s="9" t="s">
        <v>104</v>
      </c>
      <c r="G13" s="9" t="s">
        <v>105</v>
      </c>
    </row>
    <row r="14" customFormat="false" ht="22.35" hidden="false" customHeight="false" outlineLevel="0" collapsed="false">
      <c r="A14" s="10" t="s">
        <v>106</v>
      </c>
      <c r="B14" s="10" t="s">
        <v>95</v>
      </c>
      <c r="C14" s="10" t="s">
        <v>107</v>
      </c>
      <c r="D14" s="10" t="s">
        <v>108</v>
      </c>
      <c r="E14" s="10" t="s">
        <v>109</v>
      </c>
      <c r="F14" s="10" t="s">
        <v>104</v>
      </c>
      <c r="G14" s="10" t="s">
        <v>110</v>
      </c>
    </row>
    <row r="16" customFormat="false" ht="15" hidden="false" customHeight="false" outlineLevel="0" collapsed="false">
      <c r="A16" s="7" t="s">
        <v>111</v>
      </c>
    </row>
  </sheetData>
  <autoFilter ref="A4:G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4"/>
    <col collapsed="false" customWidth="true" hidden="false" outlineLevel="0" max="3" min="3" style="0" width="22"/>
    <col collapsed="false" customWidth="true" hidden="false" outlineLevel="0" max="4" min="4" style="0" width="20"/>
    <col collapsed="false" customWidth="true" hidden="false" outlineLevel="0" max="5" min="5" style="0" width="38"/>
    <col collapsed="false" customWidth="true" hidden="false" outlineLevel="0" max="6" min="6" style="0" width="42"/>
    <col collapsed="false" customWidth="true" hidden="false" outlineLevel="0" max="7" min="7" style="0" width="32"/>
  </cols>
  <sheetData>
    <row r="1" customFormat="false" ht="16.15" hidden="false" customHeight="false" outlineLevel="0" collapsed="false">
      <c r="A1" s="6" t="s">
        <v>112</v>
      </c>
    </row>
    <row r="2" customFormat="false" ht="15" hidden="false" customHeight="false" outlineLevel="0" collapsed="false">
      <c r="A2" s="7" t="s">
        <v>44</v>
      </c>
    </row>
    <row r="4" customFormat="false" ht="30" hidden="false" customHeight="true" outlineLevel="0" collapsed="false">
      <c r="A4" s="8" t="s">
        <v>113</v>
      </c>
      <c r="B4" s="8" t="s">
        <v>114</v>
      </c>
      <c r="C4" s="8" t="s">
        <v>115</v>
      </c>
      <c r="D4" s="8" t="s">
        <v>116</v>
      </c>
      <c r="E4" s="8" t="s">
        <v>117</v>
      </c>
      <c r="F4" s="8" t="s">
        <v>118</v>
      </c>
      <c r="G4" s="8" t="s">
        <v>119</v>
      </c>
    </row>
    <row r="5" customFormat="false" ht="22.35" hidden="false" customHeight="false" outlineLevel="0" collapsed="false">
      <c r="A5" s="9" t="s">
        <v>120</v>
      </c>
      <c r="B5" s="9" t="s">
        <v>121</v>
      </c>
      <c r="C5" s="9" t="s">
        <v>121</v>
      </c>
      <c r="D5" s="9" t="s">
        <v>122</v>
      </c>
      <c r="E5" s="9" t="s">
        <v>123</v>
      </c>
      <c r="F5" s="9" t="s">
        <v>124</v>
      </c>
      <c r="G5" s="9" t="s">
        <v>125</v>
      </c>
    </row>
    <row r="6" customFormat="false" ht="22.35" hidden="false" customHeight="false" outlineLevel="0" collapsed="false">
      <c r="A6" s="10" t="s">
        <v>126</v>
      </c>
      <c r="B6" s="10" t="s">
        <v>122</v>
      </c>
      <c r="C6" s="10" t="s">
        <v>127</v>
      </c>
      <c r="D6" s="10" t="s">
        <v>121</v>
      </c>
      <c r="E6" s="10" t="s">
        <v>128</v>
      </c>
      <c r="F6" s="10" t="s">
        <v>129</v>
      </c>
      <c r="G6" s="10" t="s">
        <v>130</v>
      </c>
    </row>
    <row r="7" customFormat="false" ht="22.35" hidden="false" customHeight="false" outlineLevel="0" collapsed="false">
      <c r="A7" s="9" t="s">
        <v>131</v>
      </c>
      <c r="B7" s="9" t="s">
        <v>122</v>
      </c>
      <c r="C7" s="9" t="s">
        <v>121</v>
      </c>
      <c r="D7" s="9" t="s">
        <v>127</v>
      </c>
      <c r="E7" s="9" t="s">
        <v>132</v>
      </c>
      <c r="F7" s="9" t="s">
        <v>133</v>
      </c>
      <c r="G7" s="9" t="s">
        <v>130</v>
      </c>
    </row>
    <row r="8" customFormat="false" ht="22.35" hidden="false" customHeight="false" outlineLevel="0" collapsed="false">
      <c r="A8" s="10" t="s">
        <v>134</v>
      </c>
      <c r="B8" s="10" t="s">
        <v>135</v>
      </c>
      <c r="C8" s="10" t="s">
        <v>122</v>
      </c>
      <c r="D8" s="10" t="s">
        <v>121</v>
      </c>
      <c r="E8" s="10" t="s">
        <v>136</v>
      </c>
      <c r="F8" s="10" t="s">
        <v>137</v>
      </c>
      <c r="G8" s="10" t="s">
        <v>130</v>
      </c>
    </row>
    <row r="9" customFormat="false" ht="22.35" hidden="false" customHeight="false" outlineLevel="0" collapsed="false">
      <c r="A9" s="9" t="s">
        <v>138</v>
      </c>
      <c r="B9" s="9" t="s">
        <v>139</v>
      </c>
      <c r="C9" s="9" t="s">
        <v>121</v>
      </c>
      <c r="D9" s="9" t="s">
        <v>127</v>
      </c>
      <c r="E9" s="9" t="s">
        <v>140</v>
      </c>
      <c r="F9" s="9" t="s">
        <v>141</v>
      </c>
      <c r="G9" s="9" t="s">
        <v>130</v>
      </c>
    </row>
    <row r="10" customFormat="false" ht="22.35" hidden="false" customHeight="false" outlineLevel="0" collapsed="false">
      <c r="A10" s="10" t="s">
        <v>142</v>
      </c>
      <c r="B10" s="10" t="s">
        <v>127</v>
      </c>
      <c r="C10" s="10" t="s">
        <v>122</v>
      </c>
      <c r="D10" s="10" t="s">
        <v>122</v>
      </c>
      <c r="E10" s="10" t="s">
        <v>143</v>
      </c>
      <c r="F10" s="10" t="s">
        <v>144</v>
      </c>
      <c r="G10" s="10" t="s">
        <v>130</v>
      </c>
    </row>
    <row r="12" customFormat="false" ht="15" hidden="false" customHeight="false" outlineLevel="0" collapsed="false">
      <c r="A12" s="7" t="s">
        <v>145</v>
      </c>
    </row>
  </sheetData>
  <autoFilter ref="A4:G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11"/>
    <col collapsed="false" customWidth="true" hidden="false" outlineLevel="0" max="4" min="4" style="0" width="20"/>
    <col collapsed="false" customWidth="true" hidden="false" outlineLevel="0" max="7" min="5" style="0" width="34"/>
    <col collapsed="false" customWidth="true" hidden="false" outlineLevel="0" max="10" min="8" style="0" width="30"/>
    <col collapsed="false" customWidth="true" hidden="false" outlineLevel="0" max="12" min="11" style="0" width="34"/>
    <col collapsed="false" customWidth="true" hidden="false" outlineLevel="0" max="13" min="13" style="0" width="16"/>
    <col collapsed="false" customWidth="true" hidden="false" outlineLevel="0" max="14" min="14" style="0" width="34"/>
  </cols>
  <sheetData>
    <row r="1" customFormat="false" ht="16.15" hidden="false" customHeight="false" outlineLevel="0" collapsed="false">
      <c r="A1" s="6" t="s">
        <v>146</v>
      </c>
    </row>
    <row r="2" customFormat="false" ht="15" hidden="false" customHeight="false" outlineLevel="0" collapsed="false">
      <c r="A2" s="7" t="s">
        <v>44</v>
      </c>
    </row>
    <row r="4" customFormat="false" ht="30" hidden="false" customHeight="true" outlineLevel="0" collapsed="false">
      <c r="A4" s="8" t="s">
        <v>147</v>
      </c>
      <c r="B4" s="8" t="s">
        <v>148</v>
      </c>
      <c r="C4" s="8" t="s">
        <v>149</v>
      </c>
      <c r="D4" s="8" t="s">
        <v>150</v>
      </c>
      <c r="E4" s="8" t="s">
        <v>151</v>
      </c>
      <c r="F4" s="8" t="s">
        <v>152</v>
      </c>
      <c r="G4" s="8" t="s">
        <v>153</v>
      </c>
      <c r="H4" s="8" t="s">
        <v>154</v>
      </c>
      <c r="I4" s="8" t="s">
        <v>155</v>
      </c>
      <c r="J4" s="8" t="s">
        <v>156</v>
      </c>
      <c r="K4" s="8" t="s">
        <v>157</v>
      </c>
      <c r="L4" s="8" t="s">
        <v>158</v>
      </c>
      <c r="M4" s="8" t="s">
        <v>159</v>
      </c>
      <c r="N4" s="8" t="s">
        <v>160</v>
      </c>
    </row>
    <row r="5" customFormat="false" ht="32.8" hidden="false" customHeight="false" outlineLevel="0" collapsed="false">
      <c r="A5" s="9" t="s">
        <v>161</v>
      </c>
      <c r="B5" s="9" t="s">
        <v>162</v>
      </c>
      <c r="C5" s="9" t="s">
        <v>163</v>
      </c>
      <c r="D5" s="9" t="s">
        <v>164</v>
      </c>
      <c r="E5" s="9" t="s">
        <v>165</v>
      </c>
      <c r="F5" s="9" t="s">
        <v>166</v>
      </c>
      <c r="G5" s="9" t="s">
        <v>167</v>
      </c>
      <c r="H5" s="9" t="s">
        <v>168</v>
      </c>
      <c r="I5" s="9" t="s">
        <v>169</v>
      </c>
      <c r="J5" s="9" t="s">
        <v>170</v>
      </c>
      <c r="K5" s="9" t="s">
        <v>171</v>
      </c>
      <c r="L5" s="9" t="s">
        <v>172</v>
      </c>
      <c r="M5" s="9" t="s">
        <v>121</v>
      </c>
      <c r="N5" s="9" t="s">
        <v>173</v>
      </c>
    </row>
    <row r="6" customFormat="false" ht="32.8" hidden="false" customHeight="false" outlineLevel="0" collapsed="false">
      <c r="A6" s="10" t="s">
        <v>174</v>
      </c>
      <c r="B6" s="10" t="s">
        <v>175</v>
      </c>
      <c r="C6" s="10" t="s">
        <v>176</v>
      </c>
      <c r="D6" s="10" t="s">
        <v>177</v>
      </c>
      <c r="E6" s="10" t="s">
        <v>178</v>
      </c>
      <c r="F6" s="10" t="s">
        <v>179</v>
      </c>
      <c r="G6" s="10" t="s">
        <v>180</v>
      </c>
      <c r="H6" s="10" t="s">
        <v>181</v>
      </c>
      <c r="I6" s="10" t="s">
        <v>182</v>
      </c>
      <c r="J6" s="10" t="s">
        <v>183</v>
      </c>
      <c r="K6" s="10" t="s">
        <v>184</v>
      </c>
      <c r="L6" s="10" t="s">
        <v>185</v>
      </c>
      <c r="M6" s="10" t="s">
        <v>122</v>
      </c>
      <c r="N6" s="10" t="s">
        <v>186</v>
      </c>
    </row>
    <row r="7" customFormat="false" ht="32.8" hidden="false" customHeight="false" outlineLevel="0" collapsed="false">
      <c r="A7" s="9" t="s">
        <v>187</v>
      </c>
      <c r="B7" s="9" t="s">
        <v>188</v>
      </c>
      <c r="C7" s="9" t="s">
        <v>189</v>
      </c>
      <c r="D7" s="9" t="s">
        <v>190</v>
      </c>
      <c r="E7" s="9" t="s">
        <v>191</v>
      </c>
      <c r="F7" s="9" t="s">
        <v>192</v>
      </c>
      <c r="G7" s="9" t="s">
        <v>193</v>
      </c>
      <c r="H7" s="9" t="s">
        <v>194</v>
      </c>
      <c r="I7" s="9" t="s">
        <v>195</v>
      </c>
      <c r="J7" s="9" t="s">
        <v>196</v>
      </c>
      <c r="K7" s="9" t="s">
        <v>197</v>
      </c>
      <c r="L7" s="9" t="s">
        <v>198</v>
      </c>
      <c r="M7" s="9" t="s">
        <v>199</v>
      </c>
      <c r="N7" s="9" t="s">
        <v>200</v>
      </c>
    </row>
    <row r="8" customFormat="false" ht="32.8" hidden="false" customHeight="false" outlineLevel="0" collapsed="false">
      <c r="A8" s="10" t="s">
        <v>201</v>
      </c>
      <c r="B8" s="10" t="s">
        <v>202</v>
      </c>
      <c r="C8" s="10" t="s">
        <v>189</v>
      </c>
      <c r="D8" s="10" t="s">
        <v>203</v>
      </c>
      <c r="E8" s="10" t="s">
        <v>204</v>
      </c>
      <c r="F8" s="10" t="s">
        <v>205</v>
      </c>
      <c r="G8" s="10" t="s">
        <v>206</v>
      </c>
      <c r="H8" s="10" t="s">
        <v>207</v>
      </c>
      <c r="I8" s="10" t="s">
        <v>208</v>
      </c>
      <c r="J8" s="10" t="s">
        <v>209</v>
      </c>
      <c r="K8" s="10" t="s">
        <v>210</v>
      </c>
      <c r="L8" s="10" t="s">
        <v>211</v>
      </c>
      <c r="M8" s="10" t="s">
        <v>212</v>
      </c>
      <c r="N8" s="10" t="s">
        <v>213</v>
      </c>
    </row>
    <row r="9" customFormat="false" ht="32.8" hidden="false" customHeight="false" outlineLevel="0" collapsed="false">
      <c r="A9" s="9" t="s">
        <v>214</v>
      </c>
      <c r="B9" s="9" t="s">
        <v>215</v>
      </c>
      <c r="C9" s="9" t="s">
        <v>216</v>
      </c>
      <c r="D9" s="9" t="s">
        <v>217</v>
      </c>
      <c r="E9" s="9" t="s">
        <v>218</v>
      </c>
      <c r="F9" s="9" t="s">
        <v>218</v>
      </c>
      <c r="G9" s="9" t="s">
        <v>219</v>
      </c>
      <c r="H9" s="9" t="s">
        <v>220</v>
      </c>
      <c r="I9" s="9" t="s">
        <v>221</v>
      </c>
      <c r="J9" s="9" t="s">
        <v>222</v>
      </c>
      <c r="K9" s="9" t="s">
        <v>223</v>
      </c>
      <c r="L9" s="9" t="s">
        <v>224</v>
      </c>
      <c r="M9" s="9" t="s">
        <v>122</v>
      </c>
      <c r="N9" s="9" t="s">
        <v>225</v>
      </c>
    </row>
    <row r="10" customFormat="false" ht="43.25" hidden="false" customHeight="false" outlineLevel="0" collapsed="false">
      <c r="A10" s="10" t="s">
        <v>226</v>
      </c>
      <c r="B10" s="10" t="s">
        <v>227</v>
      </c>
      <c r="C10" s="10" t="s">
        <v>228</v>
      </c>
      <c r="D10" s="10" t="s">
        <v>229</v>
      </c>
      <c r="E10" s="10" t="s">
        <v>230</v>
      </c>
      <c r="F10" s="10" t="s">
        <v>231</v>
      </c>
      <c r="G10" s="10" t="s">
        <v>232</v>
      </c>
      <c r="H10" s="10" t="s">
        <v>233</v>
      </c>
      <c r="I10" s="10" t="s">
        <v>234</v>
      </c>
      <c r="J10" s="10" t="s">
        <v>235</v>
      </c>
      <c r="K10" s="10" t="s">
        <v>236</v>
      </c>
      <c r="L10" s="10" t="s">
        <v>237</v>
      </c>
      <c r="M10" s="10" t="s">
        <v>139</v>
      </c>
      <c r="N10" s="10" t="s">
        <v>238</v>
      </c>
    </row>
    <row r="12" customFormat="false" ht="15" hidden="false" customHeight="false" outlineLevel="0" collapsed="false">
      <c r="A12" s="7" t="s">
        <v>239</v>
      </c>
    </row>
  </sheetData>
  <autoFilter ref="A4:N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2"/>
    <col collapsed="false" customWidth="true" hidden="false" outlineLevel="0" max="3" min="3" style="0" width="40"/>
    <col collapsed="false" customWidth="true" hidden="false" outlineLevel="0" max="4" min="4" style="0" width="16"/>
    <col collapsed="false" customWidth="true" hidden="false" outlineLevel="0" max="5" min="5" style="0" width="38"/>
    <col collapsed="false" customWidth="true" hidden="false" outlineLevel="0" max="6" min="6" style="0" width="18"/>
    <col collapsed="false" customWidth="true" hidden="false" outlineLevel="0" max="7" min="7" style="0" width="34"/>
  </cols>
  <sheetData>
    <row r="1" customFormat="false" ht="16.15" hidden="false" customHeight="false" outlineLevel="0" collapsed="false">
      <c r="A1" s="6" t="s">
        <v>240</v>
      </c>
    </row>
    <row r="2" customFormat="false" ht="15" hidden="false" customHeight="false" outlineLevel="0" collapsed="false">
      <c r="A2" s="7" t="s">
        <v>44</v>
      </c>
    </row>
    <row r="4" customFormat="false" ht="30" hidden="false" customHeight="true" outlineLevel="0" collapsed="false">
      <c r="A4" s="8" t="s">
        <v>241</v>
      </c>
      <c r="B4" s="8" t="s">
        <v>242</v>
      </c>
      <c r="C4" s="8" t="s">
        <v>243</v>
      </c>
      <c r="D4" s="8" t="s">
        <v>244</v>
      </c>
      <c r="E4" s="8" t="s">
        <v>245</v>
      </c>
      <c r="F4" s="8" t="s">
        <v>246</v>
      </c>
      <c r="G4" s="8" t="s">
        <v>247</v>
      </c>
    </row>
    <row r="5" customFormat="false" ht="22.35" hidden="false" customHeight="false" outlineLevel="0" collapsed="false">
      <c r="A5" s="9" t="s">
        <v>248</v>
      </c>
      <c r="B5" s="9" t="s">
        <v>249</v>
      </c>
      <c r="C5" s="9" t="s">
        <v>250</v>
      </c>
      <c r="D5" s="9" t="s">
        <v>251</v>
      </c>
      <c r="E5" s="9" t="s">
        <v>252</v>
      </c>
      <c r="F5" s="9" t="s">
        <v>121</v>
      </c>
      <c r="G5" s="9" t="s">
        <v>253</v>
      </c>
    </row>
    <row r="6" customFormat="false" ht="22.35" hidden="false" customHeight="false" outlineLevel="0" collapsed="false">
      <c r="A6" s="10" t="s">
        <v>248</v>
      </c>
      <c r="B6" s="10" t="s">
        <v>254</v>
      </c>
      <c r="C6" s="10" t="s">
        <v>255</v>
      </c>
      <c r="D6" s="10" t="s">
        <v>256</v>
      </c>
      <c r="E6" s="10" t="s">
        <v>257</v>
      </c>
      <c r="F6" s="10" t="s">
        <v>139</v>
      </c>
      <c r="G6" s="10" t="s">
        <v>258</v>
      </c>
    </row>
    <row r="7" customFormat="false" ht="22.35" hidden="false" customHeight="false" outlineLevel="0" collapsed="false">
      <c r="A7" s="9" t="s">
        <v>248</v>
      </c>
      <c r="B7" s="9" t="s">
        <v>259</v>
      </c>
      <c r="C7" s="9" t="s">
        <v>260</v>
      </c>
      <c r="D7" s="9" t="s">
        <v>261</v>
      </c>
      <c r="E7" s="9" t="s">
        <v>262</v>
      </c>
      <c r="F7" s="9" t="s">
        <v>122</v>
      </c>
      <c r="G7" s="9" t="s">
        <v>263</v>
      </c>
    </row>
    <row r="8" customFormat="false" ht="32.8" hidden="false" customHeight="false" outlineLevel="0" collapsed="false">
      <c r="A8" s="10" t="s">
        <v>248</v>
      </c>
      <c r="B8" s="10" t="s">
        <v>264</v>
      </c>
      <c r="C8" s="10" t="s">
        <v>265</v>
      </c>
      <c r="D8" s="10" t="s">
        <v>266</v>
      </c>
      <c r="E8" s="10" t="s">
        <v>267</v>
      </c>
      <c r="F8" s="10" t="s">
        <v>268</v>
      </c>
      <c r="G8" s="10" t="s">
        <v>269</v>
      </c>
    </row>
    <row r="9" customFormat="false" ht="22.35" hidden="false" customHeight="false" outlineLevel="0" collapsed="false">
      <c r="A9" s="9" t="s">
        <v>248</v>
      </c>
      <c r="B9" s="9" t="s">
        <v>270</v>
      </c>
      <c r="C9" s="9" t="s">
        <v>271</v>
      </c>
      <c r="D9" s="9" t="s">
        <v>272</v>
      </c>
      <c r="E9" s="9" t="s">
        <v>273</v>
      </c>
      <c r="F9" s="9" t="s">
        <v>122</v>
      </c>
      <c r="G9" s="9" t="s">
        <v>274</v>
      </c>
    </row>
    <row r="10" customFormat="false" ht="22.35" hidden="false" customHeight="false" outlineLevel="0" collapsed="false">
      <c r="A10" s="10" t="s">
        <v>248</v>
      </c>
      <c r="B10" s="10" t="s">
        <v>275</v>
      </c>
      <c r="C10" s="10" t="s">
        <v>276</v>
      </c>
      <c r="D10" s="10" t="s">
        <v>251</v>
      </c>
      <c r="E10" s="10" t="s">
        <v>277</v>
      </c>
      <c r="F10" s="10" t="s">
        <v>127</v>
      </c>
      <c r="G10" s="10" t="s">
        <v>278</v>
      </c>
    </row>
    <row r="11" customFormat="false" ht="22.35" hidden="false" customHeight="false" outlineLevel="0" collapsed="false">
      <c r="A11" s="9" t="s">
        <v>248</v>
      </c>
      <c r="B11" s="9" t="s">
        <v>279</v>
      </c>
      <c r="C11" s="9" t="s">
        <v>280</v>
      </c>
      <c r="D11" s="9" t="s">
        <v>272</v>
      </c>
      <c r="E11" s="9" t="s">
        <v>281</v>
      </c>
      <c r="F11" s="9" t="s">
        <v>121</v>
      </c>
      <c r="G11" s="9" t="s">
        <v>282</v>
      </c>
    </row>
    <row r="12" customFormat="false" ht="22.35" hidden="false" customHeight="false" outlineLevel="0" collapsed="false">
      <c r="A12" s="10" t="s">
        <v>248</v>
      </c>
      <c r="B12" s="10" t="s">
        <v>283</v>
      </c>
      <c r="C12" s="10" t="s">
        <v>284</v>
      </c>
      <c r="D12" s="10" t="s">
        <v>272</v>
      </c>
      <c r="E12" s="10" t="s">
        <v>285</v>
      </c>
      <c r="F12" s="10" t="s">
        <v>122</v>
      </c>
      <c r="G12" s="10" t="s">
        <v>286</v>
      </c>
    </row>
    <row r="13" customFormat="false" ht="22.35" hidden="false" customHeight="false" outlineLevel="0" collapsed="false">
      <c r="A13" s="9" t="s">
        <v>287</v>
      </c>
      <c r="B13" s="9" t="s">
        <v>288</v>
      </c>
      <c r="C13" s="9" t="s">
        <v>289</v>
      </c>
      <c r="D13" s="9" t="s">
        <v>290</v>
      </c>
      <c r="E13" s="9" t="s">
        <v>291</v>
      </c>
      <c r="F13" s="9" t="s">
        <v>122</v>
      </c>
      <c r="G13" s="9" t="s">
        <v>292</v>
      </c>
    </row>
    <row r="14" customFormat="false" ht="32.8" hidden="false" customHeight="false" outlineLevel="0" collapsed="false">
      <c r="A14" s="10" t="s">
        <v>287</v>
      </c>
      <c r="B14" s="10" t="s">
        <v>293</v>
      </c>
      <c r="C14" s="10" t="s">
        <v>294</v>
      </c>
      <c r="D14" s="10" t="s">
        <v>290</v>
      </c>
      <c r="E14" s="10" t="s">
        <v>295</v>
      </c>
      <c r="F14" s="10" t="s">
        <v>139</v>
      </c>
      <c r="G14" s="10" t="s">
        <v>296</v>
      </c>
    </row>
    <row r="15" customFormat="false" ht="22.35" hidden="false" customHeight="false" outlineLevel="0" collapsed="false">
      <c r="A15" s="9" t="s">
        <v>287</v>
      </c>
      <c r="B15" s="9" t="s">
        <v>297</v>
      </c>
      <c r="C15" s="9" t="s">
        <v>298</v>
      </c>
      <c r="D15" s="9" t="s">
        <v>290</v>
      </c>
      <c r="E15" s="9" t="s">
        <v>299</v>
      </c>
      <c r="F15" s="9" t="s">
        <v>122</v>
      </c>
      <c r="G15" s="9" t="s">
        <v>300</v>
      </c>
    </row>
    <row r="16" customFormat="false" ht="22.35" hidden="false" customHeight="false" outlineLevel="0" collapsed="false">
      <c r="A16" s="10" t="s">
        <v>287</v>
      </c>
      <c r="B16" s="10" t="s">
        <v>301</v>
      </c>
      <c r="C16" s="10" t="s">
        <v>302</v>
      </c>
      <c r="D16" s="10" t="s">
        <v>290</v>
      </c>
      <c r="E16" s="10" t="s">
        <v>303</v>
      </c>
      <c r="F16" s="10" t="s">
        <v>122</v>
      </c>
      <c r="G16" s="10" t="s">
        <v>304</v>
      </c>
    </row>
    <row r="17" customFormat="false" ht="22.35" hidden="false" customHeight="false" outlineLevel="0" collapsed="false">
      <c r="A17" s="9" t="s">
        <v>287</v>
      </c>
      <c r="B17" s="9" t="s">
        <v>305</v>
      </c>
      <c r="C17" s="9" t="s">
        <v>306</v>
      </c>
      <c r="D17" s="9" t="s">
        <v>290</v>
      </c>
      <c r="E17" s="9" t="s">
        <v>307</v>
      </c>
      <c r="F17" s="9" t="s">
        <v>308</v>
      </c>
      <c r="G17" s="9" t="s">
        <v>309</v>
      </c>
    </row>
    <row r="18" customFormat="false" ht="22.35" hidden="false" customHeight="false" outlineLevel="0" collapsed="false">
      <c r="A18" s="10" t="s">
        <v>287</v>
      </c>
      <c r="B18" s="10" t="s">
        <v>310</v>
      </c>
      <c r="C18" s="10" t="s">
        <v>311</v>
      </c>
      <c r="D18" s="10" t="s">
        <v>312</v>
      </c>
      <c r="E18" s="10" t="s">
        <v>313</v>
      </c>
      <c r="F18" s="10" t="s">
        <v>122</v>
      </c>
      <c r="G18" s="10" t="s">
        <v>314</v>
      </c>
    </row>
    <row r="19" customFormat="false" ht="22.35" hidden="false" customHeight="false" outlineLevel="0" collapsed="false">
      <c r="A19" s="9" t="s">
        <v>287</v>
      </c>
      <c r="B19" s="9" t="s">
        <v>315</v>
      </c>
      <c r="C19" s="9" t="s">
        <v>316</v>
      </c>
      <c r="D19" s="9" t="s">
        <v>266</v>
      </c>
      <c r="E19" s="9" t="s">
        <v>317</v>
      </c>
      <c r="F19" s="9" t="s">
        <v>121</v>
      </c>
      <c r="G19" s="9" t="s">
        <v>318</v>
      </c>
    </row>
    <row r="20" customFormat="false" ht="22.35" hidden="false" customHeight="false" outlineLevel="0" collapsed="false">
      <c r="A20" s="10" t="s">
        <v>319</v>
      </c>
      <c r="B20" s="10" t="s">
        <v>320</v>
      </c>
      <c r="C20" s="10" t="s">
        <v>321</v>
      </c>
      <c r="D20" s="10" t="s">
        <v>322</v>
      </c>
      <c r="E20" s="10" t="s">
        <v>323</v>
      </c>
      <c r="F20" s="10" t="s">
        <v>139</v>
      </c>
      <c r="G20" s="10" t="s">
        <v>324</v>
      </c>
    </row>
    <row r="21" customFormat="false" ht="22.35" hidden="false" customHeight="false" outlineLevel="0" collapsed="false">
      <c r="A21" s="9" t="s">
        <v>319</v>
      </c>
      <c r="B21" s="9" t="s">
        <v>325</v>
      </c>
      <c r="C21" s="9" t="s">
        <v>326</v>
      </c>
      <c r="D21" s="9" t="s">
        <v>322</v>
      </c>
      <c r="E21" s="9" t="s">
        <v>327</v>
      </c>
      <c r="F21" s="9" t="s">
        <v>139</v>
      </c>
      <c r="G21" s="9" t="s">
        <v>328</v>
      </c>
    </row>
    <row r="22" customFormat="false" ht="22.35" hidden="false" customHeight="false" outlineLevel="0" collapsed="false">
      <c r="A22" s="10" t="s">
        <v>319</v>
      </c>
      <c r="B22" s="10" t="s">
        <v>329</v>
      </c>
      <c r="C22" s="10" t="s">
        <v>330</v>
      </c>
      <c r="D22" s="10" t="s">
        <v>322</v>
      </c>
      <c r="E22" s="10" t="s">
        <v>331</v>
      </c>
      <c r="F22" s="10" t="s">
        <v>139</v>
      </c>
      <c r="G22" s="10" t="s">
        <v>332</v>
      </c>
    </row>
    <row r="23" customFormat="false" ht="15" hidden="false" customHeight="false" outlineLevel="0" collapsed="false">
      <c r="A23" s="9" t="s">
        <v>319</v>
      </c>
      <c r="B23" s="9" t="s">
        <v>333</v>
      </c>
      <c r="C23" s="9" t="s">
        <v>334</v>
      </c>
      <c r="D23" s="9" t="s">
        <v>322</v>
      </c>
      <c r="E23" s="9" t="s">
        <v>335</v>
      </c>
      <c r="F23" s="9" t="s">
        <v>139</v>
      </c>
      <c r="G23" s="9" t="s">
        <v>336</v>
      </c>
    </row>
    <row r="24" customFormat="false" ht="22.35" hidden="false" customHeight="false" outlineLevel="0" collapsed="false">
      <c r="A24" s="10" t="s">
        <v>319</v>
      </c>
      <c r="B24" s="10" t="s">
        <v>337</v>
      </c>
      <c r="C24" s="10" t="s">
        <v>338</v>
      </c>
      <c r="D24" s="10" t="s">
        <v>339</v>
      </c>
      <c r="E24" s="10" t="s">
        <v>340</v>
      </c>
      <c r="F24" s="10" t="s">
        <v>139</v>
      </c>
      <c r="G24" s="10" t="s">
        <v>341</v>
      </c>
    </row>
  </sheetData>
  <autoFilter ref="A4:G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6"/>
    <col collapsed="false" customWidth="true" hidden="false" outlineLevel="0" max="3" min="3" style="0" width="22"/>
    <col collapsed="false" customWidth="true" hidden="false" outlineLevel="0" max="4" min="4" style="0" width="26"/>
    <col collapsed="false" customWidth="true" hidden="false" outlineLevel="0" max="5" min="5" style="0" width="32"/>
    <col collapsed="false" customWidth="true" hidden="false" outlineLevel="0" max="6" min="6" style="0" width="34"/>
    <col collapsed="false" customWidth="true" hidden="false" outlineLevel="0" max="7" min="7" style="0" width="36"/>
  </cols>
  <sheetData>
    <row r="1" customFormat="false" ht="16.15" hidden="false" customHeight="false" outlineLevel="0" collapsed="false">
      <c r="A1" s="6" t="s">
        <v>342</v>
      </c>
    </row>
    <row r="2" customFormat="false" ht="15" hidden="false" customHeight="false" outlineLevel="0" collapsed="false">
      <c r="A2" s="7" t="s">
        <v>44</v>
      </c>
    </row>
    <row r="4" customFormat="false" ht="30" hidden="false" customHeight="true" outlineLevel="0" collapsed="false">
      <c r="A4" s="8" t="s">
        <v>343</v>
      </c>
      <c r="B4" s="8" t="s">
        <v>344</v>
      </c>
      <c r="C4" s="8" t="s">
        <v>345</v>
      </c>
      <c r="D4" s="8" t="s">
        <v>346</v>
      </c>
      <c r="E4" s="8" t="s">
        <v>347</v>
      </c>
      <c r="F4" s="8" t="s">
        <v>348</v>
      </c>
      <c r="G4" s="8" t="s">
        <v>349</v>
      </c>
    </row>
    <row r="5" customFormat="false" ht="32.8" hidden="false" customHeight="false" outlineLevel="0" collapsed="false">
      <c r="A5" s="9" t="s">
        <v>350</v>
      </c>
      <c r="B5" s="9" t="s">
        <v>351</v>
      </c>
      <c r="C5" s="9" t="s">
        <v>352</v>
      </c>
      <c r="D5" s="9" t="s">
        <v>353</v>
      </c>
      <c r="E5" s="9" t="s">
        <v>354</v>
      </c>
      <c r="F5" s="9" t="s">
        <v>355</v>
      </c>
      <c r="G5" s="9" t="s">
        <v>356</v>
      </c>
    </row>
    <row r="6" customFormat="false" ht="43.25" hidden="false" customHeight="false" outlineLevel="0" collapsed="false">
      <c r="A6" s="10" t="s">
        <v>350</v>
      </c>
      <c r="B6" s="10" t="s">
        <v>357</v>
      </c>
      <c r="C6" s="10" t="s">
        <v>358</v>
      </c>
      <c r="D6" s="10" t="s">
        <v>359</v>
      </c>
      <c r="E6" s="10" t="s">
        <v>360</v>
      </c>
      <c r="F6" s="10" t="s">
        <v>361</v>
      </c>
      <c r="G6" s="10" t="s">
        <v>362</v>
      </c>
    </row>
    <row r="7" customFormat="false" ht="43.25" hidden="false" customHeight="false" outlineLevel="0" collapsed="false">
      <c r="A7" s="9" t="s">
        <v>350</v>
      </c>
      <c r="B7" s="9" t="s">
        <v>363</v>
      </c>
      <c r="C7" s="9" t="s">
        <v>364</v>
      </c>
      <c r="D7" s="9" t="s">
        <v>365</v>
      </c>
      <c r="E7" s="9" t="s">
        <v>366</v>
      </c>
      <c r="F7" s="9" t="s">
        <v>367</v>
      </c>
      <c r="G7" s="9" t="s">
        <v>368</v>
      </c>
    </row>
    <row r="8" customFormat="false" ht="32.8" hidden="false" customHeight="false" outlineLevel="0" collapsed="false">
      <c r="A8" s="10" t="s">
        <v>350</v>
      </c>
      <c r="B8" s="10" t="s">
        <v>369</v>
      </c>
      <c r="C8" s="10" t="s">
        <v>364</v>
      </c>
      <c r="D8" s="10" t="s">
        <v>365</v>
      </c>
      <c r="E8" s="10" t="s">
        <v>370</v>
      </c>
      <c r="F8" s="10" t="s">
        <v>371</v>
      </c>
      <c r="G8" s="10" t="s">
        <v>372</v>
      </c>
    </row>
    <row r="9" customFormat="false" ht="32.8" hidden="false" customHeight="false" outlineLevel="0" collapsed="false">
      <c r="A9" s="9" t="s">
        <v>350</v>
      </c>
      <c r="B9" s="9" t="s">
        <v>373</v>
      </c>
      <c r="C9" s="9" t="s">
        <v>374</v>
      </c>
      <c r="D9" s="9" t="s">
        <v>375</v>
      </c>
      <c r="E9" s="9" t="s">
        <v>376</v>
      </c>
      <c r="F9" s="9" t="s">
        <v>377</v>
      </c>
      <c r="G9" s="9" t="s">
        <v>378</v>
      </c>
    </row>
    <row r="10" customFormat="false" ht="32.8" hidden="false" customHeight="false" outlineLevel="0" collapsed="false">
      <c r="A10" s="10" t="s">
        <v>350</v>
      </c>
      <c r="B10" s="10" t="s">
        <v>379</v>
      </c>
      <c r="C10" s="10" t="s">
        <v>380</v>
      </c>
      <c r="D10" s="10" t="s">
        <v>353</v>
      </c>
      <c r="E10" s="10" t="s">
        <v>381</v>
      </c>
      <c r="F10" s="10" t="s">
        <v>382</v>
      </c>
      <c r="G10" s="10" t="s">
        <v>383</v>
      </c>
    </row>
    <row r="11" customFormat="false" ht="22.35" hidden="false" customHeight="false" outlineLevel="0" collapsed="false">
      <c r="A11" s="9" t="s">
        <v>176</v>
      </c>
      <c r="B11" s="9" t="s">
        <v>384</v>
      </c>
      <c r="C11" s="9" t="s">
        <v>364</v>
      </c>
      <c r="D11" s="9" t="s">
        <v>385</v>
      </c>
      <c r="E11" s="9" t="s">
        <v>386</v>
      </c>
      <c r="F11" s="9" t="s">
        <v>387</v>
      </c>
      <c r="G11" s="9" t="s">
        <v>388</v>
      </c>
    </row>
    <row r="12" customFormat="false" ht="32.8" hidden="false" customHeight="false" outlineLevel="0" collapsed="false">
      <c r="A12" s="10" t="s">
        <v>176</v>
      </c>
      <c r="B12" s="10" t="s">
        <v>389</v>
      </c>
      <c r="C12" s="10" t="s">
        <v>364</v>
      </c>
      <c r="D12" s="10" t="s">
        <v>365</v>
      </c>
      <c r="E12" s="10" t="s">
        <v>390</v>
      </c>
      <c r="F12" s="10" t="s">
        <v>391</v>
      </c>
      <c r="G12" s="10" t="s">
        <v>392</v>
      </c>
    </row>
    <row r="13" customFormat="false" ht="32.8" hidden="false" customHeight="false" outlineLevel="0" collapsed="false">
      <c r="A13" s="9" t="s">
        <v>176</v>
      </c>
      <c r="B13" s="9" t="s">
        <v>393</v>
      </c>
      <c r="C13" s="9" t="s">
        <v>374</v>
      </c>
      <c r="D13" s="9" t="s">
        <v>394</v>
      </c>
      <c r="E13" s="9" t="s">
        <v>395</v>
      </c>
      <c r="F13" s="9" t="s">
        <v>396</v>
      </c>
      <c r="G13" s="9" t="s">
        <v>397</v>
      </c>
    </row>
    <row r="14" customFormat="false" ht="32.8" hidden="false" customHeight="false" outlineLevel="0" collapsed="false">
      <c r="A14" s="10" t="s">
        <v>176</v>
      </c>
      <c r="B14" s="10" t="s">
        <v>398</v>
      </c>
      <c r="C14" s="10" t="s">
        <v>364</v>
      </c>
      <c r="D14" s="10" t="s">
        <v>365</v>
      </c>
      <c r="E14" s="10" t="s">
        <v>399</v>
      </c>
      <c r="F14" s="10" t="s">
        <v>400</v>
      </c>
      <c r="G14" s="10" t="s">
        <v>401</v>
      </c>
    </row>
    <row r="15" customFormat="false" ht="22.35" hidden="false" customHeight="false" outlineLevel="0" collapsed="false">
      <c r="A15" s="9" t="s">
        <v>176</v>
      </c>
      <c r="B15" s="9" t="s">
        <v>402</v>
      </c>
      <c r="C15" s="9" t="s">
        <v>364</v>
      </c>
      <c r="D15" s="9" t="s">
        <v>365</v>
      </c>
      <c r="E15" s="9" t="s">
        <v>403</v>
      </c>
      <c r="F15" s="9" t="s">
        <v>404</v>
      </c>
      <c r="G15" s="9" t="s">
        <v>405</v>
      </c>
    </row>
    <row r="16" customFormat="false" ht="32.8" hidden="false" customHeight="false" outlineLevel="0" collapsed="false">
      <c r="A16" s="10" t="s">
        <v>406</v>
      </c>
      <c r="B16" s="10" t="s">
        <v>407</v>
      </c>
      <c r="C16" s="10" t="s">
        <v>364</v>
      </c>
      <c r="D16" s="10" t="s">
        <v>408</v>
      </c>
      <c r="E16" s="10" t="s">
        <v>409</v>
      </c>
      <c r="F16" s="10" t="s">
        <v>410</v>
      </c>
      <c r="G16" s="10" t="s">
        <v>411</v>
      </c>
    </row>
    <row r="17" customFormat="false" ht="22.35" hidden="false" customHeight="false" outlineLevel="0" collapsed="false">
      <c r="A17" s="9" t="s">
        <v>406</v>
      </c>
      <c r="B17" s="9" t="s">
        <v>412</v>
      </c>
      <c r="C17" s="9" t="s">
        <v>413</v>
      </c>
      <c r="D17" s="9" t="s">
        <v>414</v>
      </c>
      <c r="E17" s="9" t="s">
        <v>415</v>
      </c>
      <c r="F17" s="9" t="s">
        <v>416</v>
      </c>
      <c r="G17" s="9" t="s">
        <v>417</v>
      </c>
    </row>
    <row r="18" customFormat="false" ht="32.8" hidden="false" customHeight="false" outlineLevel="0" collapsed="false">
      <c r="A18" s="10" t="s">
        <v>406</v>
      </c>
      <c r="B18" s="10" t="s">
        <v>418</v>
      </c>
      <c r="C18" s="10" t="s">
        <v>419</v>
      </c>
      <c r="D18" s="10" t="s">
        <v>420</v>
      </c>
      <c r="E18" s="10" t="s">
        <v>421</v>
      </c>
      <c r="F18" s="10" t="s">
        <v>422</v>
      </c>
      <c r="G18" s="10" t="s">
        <v>423</v>
      </c>
    </row>
    <row r="19" customFormat="false" ht="22.35" hidden="false" customHeight="false" outlineLevel="0" collapsed="false">
      <c r="A19" s="9" t="s">
        <v>406</v>
      </c>
      <c r="B19" s="9" t="s">
        <v>424</v>
      </c>
      <c r="C19" s="9" t="s">
        <v>425</v>
      </c>
      <c r="D19" s="9" t="s">
        <v>426</v>
      </c>
      <c r="E19" s="9" t="s">
        <v>427</v>
      </c>
      <c r="F19" s="9" t="s">
        <v>428</v>
      </c>
      <c r="G19" s="9" t="s">
        <v>429</v>
      </c>
    </row>
    <row r="20" customFormat="false" ht="32.8" hidden="false" customHeight="false" outlineLevel="0" collapsed="false">
      <c r="A20" s="10" t="s">
        <v>406</v>
      </c>
      <c r="B20" s="10" t="s">
        <v>430</v>
      </c>
      <c r="C20" s="10" t="s">
        <v>374</v>
      </c>
      <c r="D20" s="10" t="s">
        <v>431</v>
      </c>
      <c r="E20" s="10" t="s">
        <v>432</v>
      </c>
      <c r="F20" s="10" t="s">
        <v>433</v>
      </c>
      <c r="G20" s="10" t="s">
        <v>434</v>
      </c>
    </row>
    <row r="21" customFormat="false" ht="22.35" hidden="false" customHeight="false" outlineLevel="0" collapsed="false">
      <c r="A21" s="9" t="s">
        <v>435</v>
      </c>
      <c r="B21" s="9" t="s">
        <v>436</v>
      </c>
      <c r="C21" s="9" t="s">
        <v>437</v>
      </c>
      <c r="D21" s="9" t="s">
        <v>438</v>
      </c>
      <c r="E21" s="9" t="s">
        <v>439</v>
      </c>
      <c r="F21" s="9" t="s">
        <v>440</v>
      </c>
      <c r="G21" s="9" t="s">
        <v>441</v>
      </c>
    </row>
    <row r="22" customFormat="false" ht="32.8" hidden="false" customHeight="false" outlineLevel="0" collapsed="false">
      <c r="A22" s="10" t="s">
        <v>435</v>
      </c>
      <c r="B22" s="10" t="s">
        <v>442</v>
      </c>
      <c r="C22" s="10" t="s">
        <v>374</v>
      </c>
      <c r="D22" s="10" t="s">
        <v>443</v>
      </c>
      <c r="E22" s="10" t="s">
        <v>444</v>
      </c>
      <c r="F22" s="10" t="s">
        <v>445</v>
      </c>
      <c r="G22" s="10" t="s">
        <v>446</v>
      </c>
    </row>
    <row r="23" customFormat="false" ht="32.8" hidden="false" customHeight="false" outlineLevel="0" collapsed="false">
      <c r="A23" s="9" t="s">
        <v>435</v>
      </c>
      <c r="B23" s="9" t="s">
        <v>447</v>
      </c>
      <c r="C23" s="9" t="s">
        <v>448</v>
      </c>
      <c r="D23" s="9" t="s">
        <v>449</v>
      </c>
      <c r="E23" s="9" t="s">
        <v>450</v>
      </c>
      <c r="F23" s="9" t="s">
        <v>451</v>
      </c>
      <c r="G23" s="9" t="s">
        <v>452</v>
      </c>
    </row>
    <row r="24" customFormat="false" ht="32.8" hidden="false" customHeight="false" outlineLevel="0" collapsed="false">
      <c r="A24" s="10" t="s">
        <v>435</v>
      </c>
      <c r="B24" s="10" t="s">
        <v>453</v>
      </c>
      <c r="C24" s="10" t="s">
        <v>454</v>
      </c>
      <c r="D24" s="10" t="s">
        <v>455</v>
      </c>
      <c r="E24" s="10" t="s">
        <v>456</v>
      </c>
      <c r="F24" s="10" t="s">
        <v>457</v>
      </c>
      <c r="G24" s="10" t="s">
        <v>458</v>
      </c>
    </row>
    <row r="25" customFormat="false" ht="22.35" hidden="false" customHeight="false" outlineLevel="0" collapsed="false">
      <c r="A25" s="9" t="s">
        <v>435</v>
      </c>
      <c r="B25" s="9" t="s">
        <v>459</v>
      </c>
      <c r="C25" s="9" t="s">
        <v>460</v>
      </c>
      <c r="D25" s="9" t="s">
        <v>426</v>
      </c>
      <c r="E25" s="9" t="s">
        <v>461</v>
      </c>
      <c r="F25" s="9" t="s">
        <v>462</v>
      </c>
      <c r="G25" s="9" t="s">
        <v>463</v>
      </c>
    </row>
  </sheetData>
  <autoFilter ref="A4:G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3"/>
    <col collapsed="false" customWidth="true" hidden="false" outlineLevel="0" max="3" min="3" style="0" width="20"/>
    <col collapsed="false" customWidth="true" hidden="false" outlineLevel="0" max="5" min="4" style="0" width="13"/>
    <col collapsed="false" customWidth="true" hidden="false" outlineLevel="0" max="6" min="6" style="0" width="52"/>
    <col collapsed="false" customWidth="true" hidden="false" outlineLevel="0" max="7" min="7" style="0" width="16"/>
  </cols>
  <sheetData>
    <row r="1" customFormat="false" ht="16.15" hidden="false" customHeight="false" outlineLevel="0" collapsed="false">
      <c r="A1" s="6" t="s">
        <v>464</v>
      </c>
    </row>
    <row r="2" customFormat="false" ht="15" hidden="false" customHeight="false" outlineLevel="0" collapsed="false">
      <c r="A2" s="7" t="s">
        <v>44</v>
      </c>
    </row>
    <row r="4" customFormat="false" ht="30" hidden="false" customHeight="true" outlineLevel="0" collapsed="false">
      <c r="A4" s="8" t="s">
        <v>465</v>
      </c>
      <c r="B4" s="8" t="s">
        <v>466</v>
      </c>
      <c r="C4" s="8" t="s">
        <v>467</v>
      </c>
      <c r="D4" s="8" t="s">
        <v>468</v>
      </c>
      <c r="E4" s="8" t="s">
        <v>469</v>
      </c>
      <c r="F4" s="8" t="s">
        <v>470</v>
      </c>
      <c r="G4" s="8" t="s">
        <v>119</v>
      </c>
    </row>
    <row r="5" customFormat="false" ht="22.35" hidden="false" customHeight="false" outlineLevel="0" collapsed="false">
      <c r="A5" s="9" t="s">
        <v>471</v>
      </c>
      <c r="B5" s="9" t="s">
        <v>472</v>
      </c>
      <c r="C5" s="9" t="s">
        <v>473</v>
      </c>
      <c r="D5" s="9" t="n">
        <v>95</v>
      </c>
      <c r="E5" s="9" t="n">
        <v>99</v>
      </c>
      <c r="F5" s="9" t="s">
        <v>474</v>
      </c>
      <c r="G5" s="9" t="s">
        <v>130</v>
      </c>
    </row>
    <row r="6" customFormat="false" ht="22.35" hidden="false" customHeight="false" outlineLevel="0" collapsed="false">
      <c r="A6" s="10" t="s">
        <v>475</v>
      </c>
      <c r="B6" s="10" t="s">
        <v>472</v>
      </c>
      <c r="C6" s="10" t="s">
        <v>476</v>
      </c>
      <c r="D6" s="10" t="n">
        <v>80</v>
      </c>
      <c r="E6" s="10" t="n">
        <v>95</v>
      </c>
      <c r="F6" s="10" t="s">
        <v>477</v>
      </c>
      <c r="G6" s="10" t="s">
        <v>130</v>
      </c>
    </row>
    <row r="7" customFormat="false" ht="32.8" hidden="false" customHeight="false" outlineLevel="0" collapsed="false">
      <c r="A7" s="9" t="s">
        <v>478</v>
      </c>
      <c r="B7" s="9" t="s">
        <v>472</v>
      </c>
      <c r="C7" s="9" t="s">
        <v>479</v>
      </c>
      <c r="D7" s="9" t="n">
        <v>45</v>
      </c>
      <c r="E7" s="9" t="n">
        <v>55</v>
      </c>
      <c r="F7" s="9" t="s">
        <v>480</v>
      </c>
      <c r="G7" s="9" t="s">
        <v>130</v>
      </c>
    </row>
    <row r="8" customFormat="false" ht="22.35" hidden="false" customHeight="false" outlineLevel="0" collapsed="false">
      <c r="A8" s="10" t="s">
        <v>481</v>
      </c>
      <c r="B8" s="10" t="s">
        <v>472</v>
      </c>
      <c r="C8" s="10" t="s">
        <v>482</v>
      </c>
      <c r="D8" s="10" t="n">
        <v>20</v>
      </c>
      <c r="E8" s="10" t="n">
        <v>45</v>
      </c>
      <c r="F8" s="10" t="s">
        <v>483</v>
      </c>
      <c r="G8" s="10" t="s">
        <v>130</v>
      </c>
    </row>
    <row r="9" customFormat="false" ht="22.35" hidden="false" customHeight="false" outlineLevel="0" collapsed="false">
      <c r="A9" s="9" t="s">
        <v>484</v>
      </c>
      <c r="B9" s="9" t="s">
        <v>472</v>
      </c>
      <c r="C9" s="9" t="s">
        <v>482</v>
      </c>
      <c r="D9" s="9" t="n">
        <v>20</v>
      </c>
      <c r="E9" s="9" t="n">
        <v>45</v>
      </c>
      <c r="F9" s="9" t="s">
        <v>485</v>
      </c>
      <c r="G9" s="9" t="s">
        <v>130</v>
      </c>
    </row>
    <row r="10" customFormat="false" ht="22.35" hidden="false" customHeight="false" outlineLevel="0" collapsed="false">
      <c r="A10" s="10" t="s">
        <v>486</v>
      </c>
      <c r="B10" s="10" t="s">
        <v>472</v>
      </c>
      <c r="C10" s="10" t="s">
        <v>482</v>
      </c>
      <c r="D10" s="10" t="n">
        <v>20</v>
      </c>
      <c r="E10" s="10" t="n">
        <v>45</v>
      </c>
      <c r="F10" s="10" t="s">
        <v>487</v>
      </c>
      <c r="G10" s="10" t="s">
        <v>130</v>
      </c>
    </row>
    <row r="11" customFormat="false" ht="22.35" hidden="false" customHeight="false" outlineLevel="0" collapsed="false">
      <c r="A11" s="9" t="s">
        <v>488</v>
      </c>
      <c r="B11" s="9" t="s">
        <v>472</v>
      </c>
      <c r="C11" s="9" t="s">
        <v>482</v>
      </c>
      <c r="D11" s="9" t="n">
        <v>20</v>
      </c>
      <c r="E11" s="9" t="n">
        <v>45</v>
      </c>
      <c r="F11" s="9" t="s">
        <v>489</v>
      </c>
      <c r="G11" s="9" t="s">
        <v>130</v>
      </c>
    </row>
    <row r="12" customFormat="false" ht="32.8" hidden="false" customHeight="false" outlineLevel="0" collapsed="false">
      <c r="A12" s="10" t="s">
        <v>490</v>
      </c>
      <c r="B12" s="10" t="s">
        <v>472</v>
      </c>
      <c r="C12" s="10" t="s">
        <v>491</v>
      </c>
      <c r="D12" s="10" t="n">
        <v>1</v>
      </c>
      <c r="E12" s="10" t="n">
        <v>5</v>
      </c>
      <c r="F12" s="10" t="s">
        <v>492</v>
      </c>
      <c r="G12" s="10" t="s">
        <v>130</v>
      </c>
    </row>
    <row r="13" customFormat="false" ht="22.35" hidden="false" customHeight="false" outlineLevel="0" collapsed="false">
      <c r="A13" s="9" t="s">
        <v>493</v>
      </c>
      <c r="B13" s="9" t="s">
        <v>472</v>
      </c>
      <c r="C13" s="9" t="s">
        <v>479</v>
      </c>
      <c r="D13" s="9" t="n">
        <v>45</v>
      </c>
      <c r="E13" s="9" t="n">
        <v>55</v>
      </c>
      <c r="F13" s="9" t="s">
        <v>494</v>
      </c>
      <c r="G13" s="9" t="s">
        <v>130</v>
      </c>
    </row>
    <row r="14" customFormat="false" ht="22.35" hidden="false" customHeight="false" outlineLevel="0" collapsed="false">
      <c r="A14" s="10" t="s">
        <v>495</v>
      </c>
      <c r="B14" s="10" t="s">
        <v>472</v>
      </c>
      <c r="C14" s="10" t="s">
        <v>496</v>
      </c>
      <c r="D14" s="10" t="n">
        <v>55</v>
      </c>
      <c r="E14" s="10" t="n">
        <v>80</v>
      </c>
      <c r="F14" s="10" t="s">
        <v>497</v>
      </c>
      <c r="G14" s="10" t="s">
        <v>130</v>
      </c>
    </row>
    <row r="16" customFormat="false" ht="15" hidden="false" customHeight="false" outlineLevel="0" collapsed="false">
      <c r="A16" s="7" t="s">
        <v>498</v>
      </c>
    </row>
  </sheetData>
  <autoFilter ref="A4:G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s>
  <sheetData>
    <row r="1" customFormat="false" ht="16.15" hidden="false" customHeight="false" outlineLevel="0" collapsed="false">
      <c r="A1" s="6" t="s">
        <v>499</v>
      </c>
    </row>
    <row r="2" customFormat="false" ht="15" hidden="false" customHeight="false" outlineLevel="0" collapsed="false">
      <c r="A2" s="7" t="s">
        <v>500</v>
      </c>
    </row>
    <row r="4" customFormat="false" ht="15" hidden="false" customHeight="false" outlineLevel="0" collapsed="false">
      <c r="A4" s="11" t="s">
        <v>501</v>
      </c>
      <c r="B4" s="12" t="n">
        <f aca="false">COUNTIF(INCIDENTS!F:F,"Confirmed")</f>
        <v>6</v>
      </c>
    </row>
    <row r="5" customFormat="false" ht="15" hidden="false" customHeight="false" outlineLevel="0" collapsed="false">
      <c r="A5" s="11" t="s">
        <v>502</v>
      </c>
      <c r="B5" s="12" t="n">
        <f aca="false">COUNTIF(INCIDENTS!F:F,"Reported")</f>
        <v>2</v>
      </c>
    </row>
    <row r="6" customFormat="false" ht="15" hidden="false" customHeight="false" outlineLevel="0" collapsed="false">
      <c r="A6" s="11" t="s">
        <v>503</v>
      </c>
      <c r="B6" s="12" t="n">
        <f aca="false">COUNTIF(INCIDENTS!F:F,"Claimed")</f>
        <v>1</v>
      </c>
    </row>
    <row r="7" customFormat="false" ht="15" hidden="false" customHeight="false" outlineLevel="0" collapsed="false">
      <c r="A7" s="11" t="s">
        <v>504</v>
      </c>
      <c r="B7" s="12" t="n">
        <f aca="false">COUNTIF(INCIDENTS!F:F,"Analogue")</f>
        <v>1</v>
      </c>
    </row>
    <row r="8" customFormat="false" ht="15" hidden="false" customHeight="false" outlineLevel="0" collapsed="false">
      <c r="A8" s="11" t="s">
        <v>505</v>
      </c>
      <c r="B8" s="12" t="n">
        <f aca="false">COUNTA(INCIDENTS!G5:G1000)</f>
        <v>10</v>
      </c>
    </row>
    <row r="10" customFormat="false" ht="15" hidden="false" customHeight="false" outlineLevel="0" collapsed="false">
      <c r="A10" s="11" t="s">
        <v>506</v>
      </c>
      <c r="B10" s="12" t="n">
        <f aca="false">COUNTA(DEPENDENCIES!G5:G1000)</f>
        <v>6</v>
      </c>
    </row>
    <row r="11" customFormat="false" ht="15" hidden="false" customHeight="false" outlineLevel="0" collapsed="false">
      <c r="A11" s="11" t="s">
        <v>507</v>
      </c>
      <c r="B11" s="12" t="n">
        <f aca="false">COUNTIF(DEPENDENCIES!D:D,"Very high")</f>
        <v>2</v>
      </c>
    </row>
    <row r="12" customFormat="false" ht="15" hidden="false" customHeight="false" outlineLevel="0" collapsed="false">
      <c r="A12" s="11" t="s">
        <v>508</v>
      </c>
      <c r="B12" s="12" t="n">
        <f aca="false">COUNTA(SCENARIOS!N5:N1000)</f>
        <v>6</v>
      </c>
    </row>
    <row r="14" customFormat="false" ht="15" hidden="false" customHeight="false" outlineLevel="0" collapsed="false">
      <c r="A14" s="11" t="s">
        <v>509</v>
      </c>
      <c r="B14" s="12" t="n">
        <f aca="false">COUNTIF(INDICATORS!A:A,"Leading")</f>
        <v>8</v>
      </c>
    </row>
    <row r="15" customFormat="false" ht="15" hidden="false" customHeight="false" outlineLevel="0" collapsed="false">
      <c r="A15" s="11" t="s">
        <v>510</v>
      </c>
      <c r="B15" s="12" t="n">
        <f aca="false">COUNTIF(INDICATORS!A:A,"Concurrent")</f>
        <v>7</v>
      </c>
    </row>
    <row r="16" customFormat="false" ht="15" hidden="false" customHeight="false" outlineLevel="0" collapsed="false">
      <c r="A16" s="11" t="s">
        <v>511</v>
      </c>
      <c r="B16" s="12" t="n">
        <f aca="false">COUNTIF(INDICATORS!A:A,"Lagging")</f>
        <v>5</v>
      </c>
    </row>
    <row r="17" customFormat="false" ht="15" hidden="false" customHeight="false" outlineLevel="0" collapsed="false">
      <c r="A17" s="11" t="s">
        <v>512</v>
      </c>
      <c r="B17" s="12" t="n">
        <f aca="false">COUNTA(INDICATORS!G5:G1000)</f>
        <v>20</v>
      </c>
    </row>
    <row r="19" customFormat="false" ht="15" hidden="false" customHeight="false" outlineLevel="0" collapsed="false">
      <c r="A19" s="11" t="s">
        <v>513</v>
      </c>
      <c r="B19" s="12" t="n">
        <f aca="false">COUNTIF(RECOMMENDATIONS!A:A,"0-24 h")</f>
        <v>6</v>
      </c>
    </row>
    <row r="20" customFormat="false" ht="15" hidden="false" customHeight="false" outlineLevel="0" collapsed="false">
      <c r="A20" s="11" t="s">
        <v>514</v>
      </c>
      <c r="B20" s="12" t="n">
        <f aca="false">COUNTIF(RECOMMENDATIONS!A:A,"24-72 h")</f>
        <v>5</v>
      </c>
    </row>
    <row r="21" customFormat="false" ht="15" hidden="false" customHeight="false" outlineLevel="0" collapsed="false">
      <c r="A21" s="11" t="s">
        <v>515</v>
      </c>
      <c r="B21" s="12" t="n">
        <f aca="false">COUNTIF(RECOMMENDATIONS!A:A,"3-14 d")</f>
        <v>5</v>
      </c>
    </row>
    <row r="22" customFormat="false" ht="15" hidden="false" customHeight="false" outlineLevel="0" collapsed="false">
      <c r="A22" s="11" t="s">
        <v>516</v>
      </c>
      <c r="B22" s="12" t="n">
        <f aca="false">COUNTIF(RECOMMENDATIONS!A:A,"15-90 d")</f>
        <v>5</v>
      </c>
    </row>
    <row r="23" customFormat="false" ht="15" hidden="false" customHeight="false" outlineLevel="0" collapsed="false">
      <c r="A23" s="11" t="s">
        <v>517</v>
      </c>
      <c r="B23" s="12" t="n">
        <f aca="false">COUNTA(RECOMMENDATIONS!F5:F1000)</f>
        <v>21</v>
      </c>
    </row>
    <row r="25" customFormat="false" ht="15" hidden="false" customHeight="false" outlineLevel="0" collapsed="false">
      <c r="A25" s="11" t="s">
        <v>464</v>
      </c>
      <c r="B25" s="12" t="n">
        <f aca="false">COUNTA(PROBABILITIES!G5:G1000)</f>
        <v>10</v>
      </c>
    </row>
    <row r="26" customFormat="false" ht="15" hidden="false" customHeight="false" outlineLevel="0" collapsed="false">
      <c r="A26" s="11" t="s">
        <v>518</v>
      </c>
      <c r="B26" s="12" t="n">
        <f aca="false">MIN(PROBABILITIES!D5:D1000)</f>
        <v>1</v>
      </c>
    </row>
    <row r="27" customFormat="false" ht="15" hidden="false" customHeight="false" outlineLevel="0" collapsed="false">
      <c r="A27" s="11" t="s">
        <v>519</v>
      </c>
      <c r="B27" s="12" t="n">
        <f aca="false">MAX(PROBABILITIES!E5:E1000)</f>
        <v>99</v>
      </c>
    </row>
    <row r="29" customFormat="false" ht="15" hidden="false" customHeight="false" outlineLevel="0" collapsed="false">
      <c r="A29" s="7" t="s">
        <v>520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2026-08-02T20:24:03Z</dcterms:created>
  <dc:creator>openpyxl</dc:creator>
  <dc:description/>
  <dc:language>en-US</dc:language>
  <cp:lastModifiedBy/>
  <dcterms:modified xsi:type="dcterms:W3CDTF">2026-08-02T20:24:03Z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